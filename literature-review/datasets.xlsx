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s" sheetId="1" r:id="rId4"/>
    <sheet state="visible" name="metadata" sheetId="2" r:id="rId5"/>
    <sheet state="visible" name="plots" sheetId="3" r:id="rId6"/>
  </sheets>
  <definedNames>
    <definedName hidden="1" localSheetId="0" name="_xlnm._FilterDatabase">datasets!$A$1:$Q$63</definedName>
  </definedNames>
  <calcPr/>
</workbook>
</file>

<file path=xl/sharedStrings.xml><?xml version="1.0" encoding="utf-8"?>
<sst xmlns="http://schemas.openxmlformats.org/spreadsheetml/2006/main" count="1867" uniqueCount="711">
  <si>
    <t>Code</t>
  </si>
  <si>
    <t>Name</t>
  </si>
  <si>
    <t>Description</t>
  </si>
  <si>
    <t>Reference</t>
  </si>
  <si>
    <t>Year</t>
  </si>
  <si>
    <t>URL</t>
  </si>
  <si>
    <t>License</t>
  </si>
  <si>
    <t>Artifact type</t>
  </si>
  <si>
    <t>Granularity</t>
  </si>
  <si>
    <t>RE stage</t>
  </si>
  <si>
    <t>Task</t>
  </si>
  <si>
    <t>Domain</t>
  </si>
  <si>
    <t>Size</t>
  </si>
  <si>
    <t>Languages</t>
  </si>
  <si>
    <t>Labels</t>
  </si>
  <si>
    <t>Extends</t>
  </si>
  <si>
    <t>Publications</t>
  </si>
  <si>
    <t>D001</t>
  </si>
  <si>
    <t>Acharya2024</t>
  </si>
  <si>
    <t>Bugzilla bug reports gathered from June 2015 through December 2023, annotated with priority and severity labels.</t>
  </si>
  <si>
    <r>
      <rPr/>
      <t xml:space="preserve">Acharya, J., &amp; Ginde, G. (2024). Graph Neural Network vs. Large Language Model: A Comparative Analysis for Bug Report Priority and Severity Prediction [Data set]. Zenodo. </t>
    </r>
    <r>
      <rPr>
        <color rgb="FF1155CC"/>
        <u/>
      </rPr>
      <t>https://doi.org/10.5281/zenodo.10892319</t>
    </r>
  </si>
  <si>
    <t>https://zenodo.org/records/10892319</t>
  </si>
  <si>
    <t>Creative Commons Attribution Share Alike 4.0 International</t>
  </si>
  <si>
    <t>Bug</t>
  </si>
  <si>
    <t>Document</t>
  </si>
  <si>
    <t>verification &amp; validation</t>
  </si>
  <si>
    <t>classification</t>
  </si>
  <si>
    <t>software</t>
  </si>
  <si>
    <t>en</t>
  </si>
  <si>
    <t>P1,P2,P3,P4,P5;Normal,S3,S4,Critical</t>
  </si>
  <si>
    <t>-</t>
  </si>
  <si>
    <t>P074</t>
  </si>
  <si>
    <t>D002</t>
  </si>
  <si>
    <t>AeroReqEval</t>
  </si>
  <si>
    <t>QA pairs across tasks and formulas for understanding of aerospace software requirements.</t>
  </si>
  <si>
    <r>
      <rPr/>
      <t xml:space="preserve">Yang, L., Luo, Y., Gao, H., Fan, Y., Zhang, J., Li, X., Dong, X., Gu, B., Jin, Z., &amp; Yang, M. (2025). Evaluating large language models for requirements question answering in industrial aerospace software. In Proceedings of the 33rd ACM International Conference on the Foundations of Software Engineering (FSE Companion ’25) (pp. 366–377). Association for Computing Machinery. </t>
    </r>
    <r>
      <rPr>
        <color rgb="FF1155CC"/>
        <u/>
      </rPr>
      <t>https://doi.org/10.1145/3696630.3728560</t>
    </r>
  </si>
  <si>
    <t>https://anonymous.4open.science/r/AeroReqEval-19BD</t>
  </si>
  <si>
    <t>None</t>
  </si>
  <si>
    <t>QA</t>
  </si>
  <si>
    <t>Pair</t>
  </si>
  <si>
    <t>analysis</t>
  </si>
  <si>
    <t>Q&amp;A</t>
  </si>
  <si>
    <t>aerospace</t>
  </si>
  <si>
    <t>P009</t>
  </si>
  <si>
    <t>D003</t>
  </si>
  <si>
    <t>AutoFactory</t>
  </si>
  <si>
    <t>Manufacturing requirements labelled with BIO tags to extract key components and support PLC code generation</t>
  </si>
  <si>
    <r>
      <rPr/>
      <t xml:space="preserve">Boudribila, A., Tajer, A., &amp; Boulghasoul, Z. (2025). AutoFactory dataset to support AI in manufacturing systems. Data in Brief, 62, 111938. </t>
    </r>
    <r>
      <rPr>
        <color rgb="FF1155CC"/>
        <u/>
      </rPr>
      <t>https://doi.org/10.1016/j.dib.2025.111938</t>
    </r>
  </si>
  <si>
    <t>https://huggingface.co/datasets/boudribila/AutoFactory</t>
  </si>
  <si>
    <t>Requirements</t>
  </si>
  <si>
    <t>Token</t>
  </si>
  <si>
    <t>specification</t>
  </si>
  <si>
    <t>manufacturing</t>
  </si>
  <si>
    <t>Actuator,Pre-actuator,Sensor,Defector,Other</t>
  </si>
  <si>
    <t>P026</t>
  </si>
  <si>
    <t>D004</t>
  </si>
  <si>
    <t>AWARE</t>
  </si>
  <si>
    <t>App reviews annotated with aspect terms, categories, and sentiments</t>
  </si>
  <si>
    <r>
      <rPr/>
      <t xml:space="preserve">Nouf Alturaief, Hamoud Aljamaan, &amp; Malak Baslyman. (2021). AWARE: Dataset for Aspect-Based Sentiment Analysis of Apps Reviews (1.0.0) [Data set]. 36th IEEE/ACM International Conference on Automated Software Engineering Workshops (ASEW). Zenodo. </t>
    </r>
    <r>
      <rPr>
        <color rgb="FF1155CC"/>
        <u/>
      </rPr>
      <t>https://doi.org/10.5281/zenodo.5528481</t>
    </r>
  </si>
  <si>
    <t>https://zenodo.org/records/5528481</t>
  </si>
  <si>
    <t>Creative Commons Attribution 4.0 International</t>
  </si>
  <si>
    <t>User reviews</t>
  </si>
  <si>
    <t>Sentence</t>
  </si>
  <si>
    <t>mobile</t>
  </si>
  <si>
    <t>P093</t>
  </si>
  <si>
    <t>D005</t>
  </si>
  <si>
    <t>Azeem2023</t>
  </si>
  <si>
    <t>Data processing agreements (DPAs) sentences annotated with GDPR provisions (P1...P19)</t>
  </si>
  <si>
    <r>
      <rPr/>
      <t xml:space="preserve">Azeem, M.I., Abualhaija, S. A Multi-solution Study on GDPR AI-enabled Completeness Checking of DPAs. Empir Software Eng 29, 96 (2024). </t>
    </r>
    <r>
      <rPr>
        <color rgb="FF1155CC"/>
        <u/>
      </rPr>
      <t>https://doi.org/10.1007/s10664-024-10491-3</t>
    </r>
  </si>
  <si>
    <t>https://figshare.com/s/77338e558ffb6adf6f55</t>
  </si>
  <si>
    <t>Legal text</t>
  </si>
  <si>
    <t>legal</t>
  </si>
  <si>
    <t>Provision 1, Provision 2, Provision 3, Provision 4, Provision 5, Provision 6, Provision 7, Provision 8, Provision 9, Provision 10, Provision 11, Provision 12, Provision 13, Provision 14, Provision 15, Provision 16, Provision 17, Provision 18, Provision 19</t>
  </si>
  <si>
    <t>P075</t>
  </si>
  <si>
    <t>D006</t>
  </si>
  <si>
    <t>Bozygit2024</t>
  </si>
  <si>
    <t>Functional requirements from various software systems, such as educational, business, and hospitality settings.</t>
  </si>
  <si>
    <r>
      <rPr/>
      <t xml:space="preserve">Fatma Bozyigit, Tolgahan Bardakci, Alireza Khalilipour, Moharram Challenger, Guus Ramackers, Onder Babur, Michel R. V. Chaudron (2023). Dataset for: Text Requirements to Models. IEEE Dataport. </t>
    </r>
    <r>
      <rPr>
        <color rgb="FF1155CC"/>
        <u/>
      </rPr>
      <t>https://dx.doi.org/10.21227/r9j6-nd62</t>
    </r>
  </si>
  <si>
    <t>https://ieee-dataport.org/documents/dataset-text-requirements-models</t>
  </si>
  <si>
    <t>extraction</t>
  </si>
  <si>
    <t>education,business,healthcare</t>
  </si>
  <si>
    <t>D046</t>
  </si>
  <si>
    <t>P065</t>
  </si>
  <si>
    <t>D007</t>
  </si>
  <si>
    <t>Bragilovski2024</t>
  </si>
  <si>
    <t>User stories dataset from three collections from online repositories classified according to project-specific knowledge.</t>
  </si>
  <si>
    <t>Bragilovski, M., van Can, A. T., Dalpiaz, F., &amp; Sturm, A. (2024). Material of the paper "Deriving Domain Models from User Stories: Human vs. Machines" [Data set]. Zenodo. https://doi.org/10.5281/zenodo.12740518</t>
  </si>
  <si>
    <t>https://zenodo.org/records/12740518</t>
  </si>
  <si>
    <t>User stories</t>
  </si>
  <si>
    <t>modelling</t>
  </si>
  <si>
    <t>services,software,education</t>
  </si>
  <si>
    <t>P013,P112</t>
  </si>
  <si>
    <t>D008</t>
  </si>
  <si>
    <t>Bugzilla_conflicts</t>
  </si>
  <si>
    <t>Post pairs from Bugzilla labeled as "conflict" or "neutral".</t>
  </si>
  <si>
    <t>Malik, G., Cevik, M., &amp; Başar, A. (2023). Data augmentation for conflict and duplicate detection in software engineering sentence pairs. In Proceedings of the 33rd Annual International Conference on Computer Science and Software Engineering (CASCON ’23) (pp. 34–43).</t>
  </si>
  <si>
    <t>https://gitfront.io/r/user-9946871/ii6eJFSh7oT4/DA-Sentence-Pairs/</t>
  </si>
  <si>
    <t>Post</t>
  </si>
  <si>
    <t>management</t>
  </si>
  <si>
    <t>traceability</t>
  </si>
  <si>
    <t>Neutral,Conflict</t>
  </si>
  <si>
    <t>P005</t>
  </si>
  <si>
    <t>D009</t>
  </si>
  <si>
    <t>CCHIT</t>
  </si>
  <si>
    <t>Cross-level requirements dataset for traceability tasks from the Certification Commission for Healthcare Information Technology healthcare project</t>
  </si>
  <si>
    <t>C. Ge, T. Wang, X. Yang and C. Treude, "Cross-Level Requirements Tracing Based on Large Language Models," in IEEE Transactions on Software Engineering, vol. 51, no. 7, pp. 2044-2066, July 2025, doi: 10.1109/TSE.2025.3572094.</t>
  </si>
  <si>
    <t>https://github.com/Gechuyan/Cross-Level-Requirements-Tracing-Based-on-Large-Language-Model/blob/main/Cross-Level%20Requirements%20Tracing%20Based%20on%20Large%20Language%20Model/Data/Original_Data/CCHIT.csv</t>
  </si>
  <si>
    <t>healthcare</t>
  </si>
  <si>
    <t>Positive,Negative</t>
  </si>
  <si>
    <t>P049,P058,P116</t>
  </si>
  <si>
    <t>D010</t>
  </si>
  <si>
    <t>CM1</t>
  </si>
  <si>
    <t>Cross-level requirements dataset for traceability tasks from the CM1 aerospace project</t>
  </si>
  <si>
    <t>https://github.com/Gechuyan/Cross-Level-Requirements-Tracing-Based-on-Large-Language-Model/blob/main/Cross-Level%20Requirements%20Tracing%20Based%20on%20Large%20Language%20Model/Data/Original_Data/CM1Dataset.csv</t>
  </si>
  <si>
    <t>D011</t>
  </si>
  <si>
    <t>CM1-Modis</t>
  </si>
  <si>
    <t>Cross-level requirements dataset for traceability tasks from the aerospace domain</t>
  </si>
  <si>
    <t>https://github.com/Gechuyan/Cross-Level-Requirements-Tracing-Based-on-Large-Language-Model/blob/main/Cross-Level%20Requirements%20Tracing%20Based%20on%20Large%20Language%20Model/Data/Original_Data/cross_project/CM1-Modis.csv</t>
  </si>
  <si>
    <t>D010,D036</t>
  </si>
  <si>
    <t>P049</t>
  </si>
  <si>
    <t>D012</t>
  </si>
  <si>
    <t>CoffeeMachine_conflicts</t>
  </si>
  <si>
    <t>Collection of requirement datasets from the CoffeeMachine project labelled with inconsistencies between requirement pairs.</t>
  </si>
  <si>
    <r>
      <rPr/>
      <t xml:space="preserve">Alessandro Fantechi, Stefania Gnesi, Lucia Passaro, &amp; Laura Semini. (2023). Supplementary material for: Inconsistency Detection in Natural Language Requirements using ChatGPT: a Preliminary Evaluation [Data set]. Zenodo. </t>
    </r>
    <r>
      <rPr>
        <color rgb="FF1155CC"/>
        <u/>
      </rPr>
      <t>https://doi.org/10.5281/zenodo.8089810</t>
    </r>
  </si>
  <si>
    <t>https://zenodo.org/records/8089810</t>
  </si>
  <si>
    <t>services</t>
  </si>
  <si>
    <t>Consistent,Inconsistent</t>
  </si>
  <si>
    <t>P047</t>
  </si>
  <si>
    <t>D013</t>
  </si>
  <si>
    <t>CQ-BEN</t>
  </si>
  <si>
    <t>Competency questions (CQ) repository integrating datasets from multiple independent studies.</t>
  </si>
  <si>
    <t>Alharbi, R., de Berardinis, J., Grasso, F., Payne, T. R., &amp; Tamma, V. (2024, November). Characteristics and desiderata for competency question benchmarks. In Proceedings of the ISWC 2024 Special Session on Harmonising Generative AI and Semantic Web Technologies</t>
  </si>
  <si>
    <t>https://github.com/KE-UniLiv/CQ-benchmark/</t>
  </si>
  <si>
    <t>Questions</t>
  </si>
  <si>
    <t>elicitation</t>
  </si>
  <si>
    <t>P057</t>
  </si>
  <si>
    <t>D014</t>
  </si>
  <si>
    <t>Cross-project_trace</t>
  </si>
  <si>
    <t>Cross-level requirements dataset for linking high-level requirements and low-level requirements</t>
  </si>
  <si>
    <t>https://github.com/Gechuyan/Cross-Level-Requirements-Tracing-Based-on-Large-Language-Model/blob/main/Cross-Level%20Requirements%20Tracing%20Based%20on%20Large%20Language%20Model/Data/Original_Data/cross_project/Cross_dataset.csv</t>
  </si>
  <si>
    <t>aerospace,software,healthcare</t>
  </si>
  <si>
    <t>D010,D036,D020,D057,D027,D009</t>
  </si>
  <si>
    <t>D015</t>
  </si>
  <si>
    <t>Dalpiaz2018</t>
  </si>
  <si>
    <t>Requirements expressed as user stories</t>
  </si>
  <si>
    <t>Dalpiaz, Fabiano (2018), “Requirements data sets (user stories)”, Mendeley Data, V1, doi: 10.17632/7zbk8zsd8y.1</t>
  </si>
  <si>
    <t>https://data.mendeley.com/datasets/7zbk8zsd8y/1</t>
  </si>
  <si>
    <t>P148,P155</t>
  </si>
  <si>
    <t>D016</t>
  </si>
  <si>
    <t>DOSSPRE</t>
  </si>
  <si>
    <t>Collection of students’ software project requirements including both security-related and non-security-related items.</t>
  </si>
  <si>
    <t>Kadebu, Prudence (2024), “Dataset of Students’ Software Projects Requirements (DOSSPRE)”, Mendeley Data, V2, doi: 10.17632/23xtbvk6yp.2</t>
  </si>
  <si>
    <t>https://data.mendeley.com/datasets/23xtbvk6yp/2</t>
  </si>
  <si>
    <t>academia</t>
  </si>
  <si>
    <t>Security,Non-Security,Functional,Usability,Portability,Performance,Availability,Authentication,Authorization,Immunity,Integrity,Intrusion detection,Confidentiality,Auditing,Survivability,Maintainability</t>
  </si>
  <si>
    <t>P032</t>
  </si>
  <si>
    <t>D017</t>
  </si>
  <si>
    <t>Dronology</t>
  </si>
  <si>
    <t>Requirements descriptions from an open-source project on Unmanned Aerial Vehicle (UAV) by the University of Notre Dame.</t>
  </si>
  <si>
    <t>Jane Cleland-Huang, Michael Vierhauser, Sean Bayley: Dronology: An Incubator for Cyber-Physical System Research, New Ideas and Emerging Results Track, International Conference on Software Engineering (ICSE), Gothenburg, Sweden, 2018.</t>
  </si>
  <si>
    <t>https://dronology.info/datasets/</t>
  </si>
  <si>
    <t>D018</t>
  </si>
  <si>
    <t>Elenga2024</t>
  </si>
  <si>
    <t>Collection of requirement pairs from various projects labelled as contradicting and non-contradicting.</t>
  </si>
  <si>
    <r>
      <rPr/>
      <t xml:space="preserve">Gärtner, A.E., Göhlich, D. Automated requirement contradiction detection through formal logic and LLMs. Autom Softw Eng 31, 49 (2024). </t>
    </r>
    <r>
      <rPr>
        <color rgb="FF1155CC"/>
        <u/>
      </rPr>
      <t>https://doi.org/10.1007/s10515-024-00452-x</t>
    </r>
  </si>
  <si>
    <t>https://static-content.springer.com/esm/art%3A10.1007%2Fs10515-024-00452-x/MediaObjects/10515_2024_452_MOESM1_ESM.csv</t>
  </si>
  <si>
    <t>automotive,software</t>
  </si>
  <si>
    <t>Simplex Contradictory,Idem Contradictory,Alius Contradictory,Simplex Contrary,Idem Contrary,Alius Contrary,Simplex Subaltern,Idem Subaltern,Alius Subaltern, None</t>
  </si>
  <si>
    <t>P069</t>
  </si>
  <si>
    <t>D019</t>
  </si>
  <si>
    <t>ETCS_conflicts</t>
  </si>
  <si>
    <t>Collection of requirement datasets from the ETCS project labelled with inconsistencies between requirement pairs.</t>
  </si>
  <si>
    <r>
      <rPr/>
      <t xml:space="preserve">Alessandro Fantechi, Stefania Gnesi, Lucia Passaro, &amp; Laura Semini. (2023). Supplementary material for: Inconsistency Detection in Natural Language Requirements using ChatGPT: a Preliminary Evaluation [Data set]. Zenodo. </t>
    </r>
    <r>
      <rPr>
        <color rgb="FF1155CC"/>
        <u/>
      </rPr>
      <t>https://doi.org/10.5281/zenodo.8089810</t>
    </r>
  </si>
  <si>
    <t>railway</t>
  </si>
  <si>
    <t>D020</t>
  </si>
  <si>
    <t>GANTT</t>
  </si>
  <si>
    <t>Cross-level requirements dataset for traceability tasks from the GANTT software project</t>
  </si>
  <si>
    <t>https://github.com/Gechuyan/Cross-Level-Requirements-Tracing-Based-on-Large-Language-Model/blob/main/Cross-Level%20Requirements%20Tracing%20Based%20on%20Large%20Language%20Model/Data/Original_Data/GANNTDataset.csv</t>
  </si>
  <si>
    <t>D021</t>
  </si>
  <si>
    <t>GANTT-WARC</t>
  </si>
  <si>
    <t>Cross-level requirements dataset for traceability tasks from the software domain</t>
  </si>
  <si>
    <t>D020,D057</t>
  </si>
  <si>
    <t>D022</t>
  </si>
  <si>
    <t>Groen2025_P1</t>
  </si>
  <si>
    <t>User reviews classified into "helpful" and "useless" from the perspective of the developer of an app.</t>
  </si>
  <si>
    <r>
      <rPr/>
      <t xml:space="preserve">Groen, E. C., Dalpiaz, F., van Vliet, M., Winter, B., Doerr, J., &amp; Brinkkemper, S. (2025). Classification of Quality Characteristics in Online User Feedback using Linguistic Analysis, Crowdsourcing and LLMs: Online Appendix and Supplementary Material [Data set]. En Journal of Systems and Software. Zenodo. </t>
    </r>
    <r>
      <rPr>
        <color rgb="FF1155CC"/>
        <u/>
      </rPr>
      <t>https://doi.org/10.5281/zenodo.15604749</t>
    </r>
  </si>
  <si>
    <t>https://zenodo.org/records/15604749</t>
  </si>
  <si>
    <t>Helpful,Useless</t>
  </si>
  <si>
    <t>P003</t>
  </si>
  <si>
    <t>D023</t>
  </si>
  <si>
    <t>Groen2025_P2</t>
  </si>
  <si>
    <t>User review sentences classified into "helpful" and "useless" from the perspective of the developer of an app.</t>
  </si>
  <si>
    <r>
      <rPr/>
      <t xml:space="preserve">Groen, E. C., Dalpiaz, F., van Vliet, M., Winter, B., Doerr, J., &amp; Brinkkemper, S. (2025). Classification of Quality Characteristics in Online User Feedback using Linguistic Analysis, Crowdsourcing and LLMs: Online Appendix and Supplementary Material [Data set]. En Journal of Systems and Software. Zenodo. </t>
    </r>
    <r>
      <rPr>
        <color rgb="FF1155CC"/>
        <u/>
      </rPr>
      <t>https://doi.org/10.5281/zenodo.15604749</t>
    </r>
  </si>
  <si>
    <t>D024</t>
  </si>
  <si>
    <t>Groen2025_P3</t>
  </si>
  <si>
    <t>User review sentences classified into a taxonomy of quality aspects.</t>
  </si>
  <si>
    <r>
      <rPr/>
      <t xml:space="preserve">Groen, E. C., Dalpiaz, F., van Vliet, M., Winter, B., Doerr, J., &amp; Brinkkemper, S. (2025). Classification of Quality Characteristics in Online User Feedback using Linguistic Analysis, Crowdsourcing and LLMs: Online Appendix and Supplementary Material [Data set]. En Journal of Systems and Software. Zenodo. </t>
    </r>
    <r>
      <rPr>
        <color rgb="FF1155CC"/>
        <u/>
      </rPr>
      <t>https://doi.org/10.5281/zenodo.15604749</t>
    </r>
  </si>
  <si>
    <t>Feature Request,User-friendliness,Stability,Performance,Security,Compatibility,_multiple</t>
  </si>
  <si>
    <t>D025</t>
  </si>
  <si>
    <t>Guidotti2024</t>
  </si>
  <si>
    <t>Requirements written in the Property Specification Pattern (PSP) format, specifically tailored for the automotive domain</t>
  </si>
  <si>
    <t>Guidotti, D., Pandolfo, L., Pulina, L., &amp; Azzena, S. (2024). Automotive Domain Property Specification Pattern Dataset [Data set]. Zenodo. https://doi.org/10.5281/zenodo.13373276</t>
  </si>
  <si>
    <t>https://zenodo.org/records/13373276</t>
  </si>
  <si>
    <t xml:space="preserve">GNU General Public License v3.0 </t>
  </si>
  <si>
    <t>automotive</t>
  </si>
  <si>
    <t>P089</t>
  </si>
  <si>
    <t>D026</t>
  </si>
  <si>
    <t>Hippargi2025</t>
  </si>
  <si>
    <t>System and software requirements with test cases from an automotive firmware project annotated with traceability links.</t>
  </si>
  <si>
    <t>Hippargi, V. (2025). Case study on ChatGPT for RE [Data set]. GitHub. https://github.com/VibhaHippargi/CaseStudyonChatGPTforRE</t>
  </si>
  <si>
    <t>https://github.com/VibhaHippargi/CaseStudyonChatGPTforRE/tree/main</t>
  </si>
  <si>
    <t>P043</t>
  </si>
  <si>
    <t>D027</t>
  </si>
  <si>
    <t>InfusionPump</t>
  </si>
  <si>
    <t>Cross-level requirements dataset for traceability tasks from the InfusionPump healthcare project</t>
  </si>
  <si>
    <t>https://github.com/Gechuyan/Cross-Level-Requirements-Tracing-Based-on-Large-Language-Model/blob/main/Cross-Level%20Requirements%20Tracing%20Based%20on%20Large%20Language%20Model/Data/Original_Data/InfusionPump.csv</t>
  </si>
  <si>
    <t>P049,P116</t>
  </si>
  <si>
    <t>D028</t>
  </si>
  <si>
    <t>InfusionPump-CCHIT</t>
  </si>
  <si>
    <t>Cross-level requirements dataset for traceability tasks from the healthcare domain</t>
  </si>
  <si>
    <t>https://github.com/Gechuyan/Cross-Level-Requirements-Tracing-Based-on-Large-Language-Model/blob/main/Cross-Level%20Requirements%20Tracing%20Based%20on%20Large%20Language%20Model/Data/Original_Data/cross_project/GANNT-WARC.csv</t>
  </si>
  <si>
    <t>D027,D009</t>
  </si>
  <si>
    <t>D029</t>
  </si>
  <si>
    <t>Khan2025</t>
  </si>
  <si>
    <t>App reviews annotated with emotion labels by humans and ChatGPT</t>
  </si>
  <si>
    <r>
      <rPr/>
      <t xml:space="preserve">Khan, N. D., Khan, J. A., Li, J., Ullah, T., &amp; Zhao, Q. (2025). Leveraging large language model ChatGPT for enhanced understanding of end-user emotions in social media feedbacks. Expert Systems with Applications, 261, 125524. </t>
    </r>
    <r>
      <rPr>
        <color rgb="FF1155CC"/>
        <u/>
      </rPr>
      <t>https://doi.org/10.1016/j.eswa.2024.125524</t>
    </r>
  </si>
  <si>
    <t>https://github.com/nekdil566/Experimental-work-and-datasets/blob/main/R2_ChatGPt_datasett.csv</t>
  </si>
  <si>
    <t>Anger,Confusion,Disgust,Distrust,Disappointment,Fear,Frustration,Sadness</t>
  </si>
  <si>
    <t>P020</t>
  </si>
  <si>
    <t>D030</t>
  </si>
  <si>
    <t>Kolthoff2024</t>
  </si>
  <si>
    <t>User story and GUI annotation dataset across multiple preprocessing steps</t>
  </si>
  <si>
    <t>-. K. Kolthoff, F. Kretzer, C. Bartelt, A. Maedche and S. P. Ponzetto, "Interlinking User Stories and GUI Prototyping: A Semi-Automatic LLM-Based Approach," 2024 IEEE 32nd International Requirements Engineering Conference (RE), Reykjavik, Iceland, 2024, pp. 380-388, doi: 10.1109/RE59067.2024.00045. keywords: {Large language models;Interactive systems;Natural languages;Prototypes;Requirements engineering;Graphical user interfaces;GUI Prototyping;Requirements Elicitation;Requirements Validation;User Stories;Assistance},</t>
  </si>
  <si>
    <t>https://github.com/IUS-GUI-Prototyping/IUS-GUI</t>
  </si>
  <si>
    <t>P110</t>
  </si>
  <si>
    <t>D031</t>
  </si>
  <si>
    <t>LERE</t>
  </si>
  <si>
    <t>Chinese requirements categorized into eight types of errors.</t>
  </si>
  <si>
    <t>H. Han, K. Chen, J. He and Z. Huang, "LERE: A Method Based on LLMS and Enhanced Ears in Requirements Engineering," 2025 8th International Conference on Software and System Engineering (ICoSSE), Nice, France, 2025, pp. 80-85, doi: 10.1109/ICoSSE65712.2025.00022.</t>
  </si>
  <si>
    <t>https://github.com/hanhan13579/LERE</t>
  </si>
  <si>
    <t>industry</t>
  </si>
  <si>
    <t>chn</t>
  </si>
  <si>
    <t>Uniqueness,Conciseness,Verifiability,Feasibility,Avoidance of passive voice,Adherence to paradigms,Prohibition of symbols,Prohibition of pronouns</t>
  </si>
  <si>
    <t>P027</t>
  </si>
  <si>
    <t>D032</t>
  </si>
  <si>
    <t>LEXDEMOD</t>
  </si>
  <si>
    <t>Contractual commercial requirement sentences from 23 lease contracts from the LEDGAR corpus annotated with deontic modality</t>
  </si>
  <si>
    <r>
      <rPr/>
      <t xml:space="preserve">Sancheti, A., Garimella, A., Srinivasan, B. V., &amp; Rudinger, R. (2022). Agent-specific deontic modality detection in legal language. Proceedings of the 2022 Conference on Empirical Methods in Natural Language Processing, 11563–11579. Association for Computational Linguistics. </t>
    </r>
    <r>
      <rPr>
        <color rgb="FF1155CC"/>
        <u/>
      </rPr>
      <t>https://doi.org/10.18653/v1/2022.emnlp-main.795</t>
    </r>
  </si>
  <si>
    <t>https://github.com/adobe-research/LexDeMod</t>
  </si>
  <si>
    <t>commerce</t>
  </si>
  <si>
    <t>Obligation,Entitlement,Prohibition,Permission,No obligation,No entitlement</t>
  </si>
  <si>
    <t>P052</t>
  </si>
  <si>
    <t>D033</t>
  </si>
  <si>
    <t>Library_conflicts</t>
  </si>
  <si>
    <t>Collection of requirement datasets from the Library project labelled with inconsistencies between requirement pairs.</t>
  </si>
  <si>
    <r>
      <rPr/>
      <t xml:space="preserve">Alessandro Fantechi, Stefania Gnesi, Lucia Passaro, &amp; Laura Semini. (2023). Supplementary material for: Inconsistency Detection in Natural Language Requirements using ChatGPT: a Preliminary Evaluation [Data set]. Zenodo. </t>
    </r>
    <r>
      <rPr>
        <color rgb="FF1155CC"/>
        <u/>
      </rPr>
      <t>https://doi.org/10.5281/zenodo.8089810</t>
    </r>
  </si>
  <si>
    <t>D034</t>
  </si>
  <si>
    <t>MetroCode_entities</t>
  </si>
  <si>
    <t>Requirements from Chapters 18-22 from the 'Code for Design of Metro' labelled with BIO tags for requirements information extraction</t>
  </si>
  <si>
    <r>
      <rPr/>
      <t xml:space="preserve">OrangeeSofty. 2024. Metro_Code_Chapters_18_to_22_Data. Hugging Face Datasets. </t>
    </r>
    <r>
      <rPr>
        <color rgb="FF1155CC"/>
        <u/>
      </rPr>
      <t>https://huggingface.co/datasets/OrangeeSofty/Metro_Code_Chapters_18_to_22_Data/tree/main/out_bio_txt</t>
    </r>
    <r>
      <rPr/>
      <t xml:space="preserve"> Accessed: 2026-01-13.</t>
    </r>
  </si>
  <si>
    <t>https://huggingface.co/datasets/OrangeeSofty/Metro_Code_Chapters_18_to_22_Data/tree/main/out_bio_txt</t>
  </si>
  <si>
    <t>Apache 2.0</t>
  </si>
  <si>
    <t xml:space="preserve">Subject,Attribute,Objec,Action,Function,Value,Principle,Condition,Outside </t>
  </si>
  <si>
    <t>D035</t>
  </si>
  <si>
    <t>P018</t>
  </si>
  <si>
    <t>MetroCode_types</t>
  </si>
  <si>
    <t>Requirements from Chapters 18-22 from the 'Code for Design of Metro' classified into requirement types</t>
  </si>
  <si>
    <r>
      <rPr/>
      <t xml:space="preserve">OrangeeSofty. 2024. Metro_Code_Chapters_18_to_22_Data. Hugging Face Datasets. </t>
    </r>
    <r>
      <rPr>
        <color rgb="FF1155CC"/>
        <u/>
      </rPr>
      <t>https://huggingface.co/datasets/OrangeeSofty/Metro_Code_Chapters_18_to_22_Data/tree/main/out_bio_txt</t>
    </r>
    <r>
      <rPr/>
      <t xml:space="preserve"> Accessed: 2026-01-13.</t>
    </r>
  </si>
  <si>
    <t>Functional requirements,Interface requirements,Performance requirements,Physical requirements,Design constraints</t>
  </si>
  <si>
    <t>D036</t>
  </si>
  <si>
    <t>Modis</t>
  </si>
  <si>
    <t>Cross-level requirements dataset for traceability tasks from the Modis aerospace project</t>
  </si>
  <si>
    <t>https://github.com/Gechuyan/Cross-Level-Requirements-Tracing-Based-on-Large-Language-Model/blob/main/Cross-Level%20Requirements%20Tracing%20Based%20on%20Large%20Language%20Model/Data/Original_Data/ModisDataset.csv</t>
  </si>
  <si>
    <t>P049,P058</t>
  </si>
  <si>
    <t>D037</t>
  </si>
  <si>
    <t>Motger2024</t>
  </si>
  <si>
    <t>App reviews annotated at token level with app features extracted from a popular software recommendation platform</t>
  </si>
  <si>
    <t>Q. Motger, A. Miaschi, F. Dell'Orletta, X. Franch and J. Marco, "T-FREX: A Transformer-based Feature Extraction Method from Mobile App Reviews," 2024 IEEE International Conference on Software Analysis, Evolution and Reengineering (SANER), Rovaniemi, Finland, 2024, pp. 227-238, doi: 10.1109/SANER60148.2024.00030.</t>
  </si>
  <si>
    <t>https://github.com/nlp4se/t-frex</t>
  </si>
  <si>
    <t>B-feature,I-feature,O</t>
  </si>
  <si>
    <t>P131</t>
  </si>
  <si>
    <t>D038</t>
  </si>
  <si>
    <t>MultiDomainFPA</t>
  </si>
  <si>
    <t>Multi-domain collection of question-answer pairs for function point analysis.</t>
  </si>
  <si>
    <r>
      <rPr/>
      <t xml:space="preserve">Zhao, Z., Jiang, H., Zhao, R., &amp; He, B. (2024). Emergence of a novel domain expert: A generative AI-based framework for software function point analysis. Proceedings of the 39th IEEE/ACM International Conference on Automated Software Engineering (ASE '24), 2245–2250. Association for Computing Machinery. </t>
    </r>
    <r>
      <rPr>
        <color rgb="FF1155CC"/>
        <u/>
      </rPr>
      <t>https://doi-org.recursos.biblioteca.upc.edu/10.1145/3691620.3695293</t>
    </r>
  </si>
  <si>
    <t>https://ieeexplore.ieee.org/document/10764829/</t>
  </si>
  <si>
    <t>software,social networks</t>
  </si>
  <si>
    <t>P070</t>
  </si>
  <si>
    <t>D039</t>
  </si>
  <si>
    <t>MURCIA_dataset</t>
  </si>
  <si>
    <t>Regulatory changes in legal provisions covering four widely used regulations from the finance domain.</t>
  </si>
  <si>
    <t>Abualhaija, S. (2024). Artifact associated with "AI-enabled Regulatory Change Analysis of Legal Requirements". The 32nd IEEE International Requirements Engineering 2024 conference (RE'24), Iceland. Zenodo. https://doi.org/10.5281/zenodo.10959496</t>
  </si>
  <si>
    <t>https://zenodo.org/records/10959496</t>
  </si>
  <si>
    <t>SNT Non Commercial LICENSE V.2</t>
  </si>
  <si>
    <t>finance</t>
  </si>
  <si>
    <t>D040</t>
  </si>
  <si>
    <t>OPENCOSS_conflicts</t>
  </si>
  <si>
    <t>Requirements pairs related to the Open Platform for Evolutionary Certification Of Safety-critical Systems for railway, avionics, and automotive industries, labeled as "conflict" or "neutral".</t>
  </si>
  <si>
    <t>D041</t>
  </si>
  <si>
    <t>PCTD</t>
  </si>
  <si>
    <t>Facebook app reviews classified according to their relevance with respect to privacy concerns</t>
  </si>
  <si>
    <r>
      <rPr/>
      <t xml:space="preserve">Zhang, J., Hua, J., Niu, N., Chen, Y., &amp; Liu, C. (2023). Mining user privacy concern topics from app reviews. arXiv. </t>
    </r>
    <r>
      <rPr>
        <color rgb="FF1155CC"/>
        <u/>
      </rPr>
      <t>https://arxiv.org/abs/2212.09289</t>
    </r>
  </si>
  <si>
    <t>https://github.com/zhangjianzhang/PCTD/</t>
  </si>
  <si>
    <t>social networks</t>
  </si>
  <si>
    <t>Privacy review, Privacy-irrelevant review</t>
  </si>
  <si>
    <t>P017</t>
  </si>
  <si>
    <t>D042</t>
  </si>
  <si>
    <t>PET</t>
  </si>
  <si>
    <t>Although there is a long tradition of work in NLP on extracting entities and relations from text, to date there exists little work on the acquisition of business processes from unstructured data such as textual corpora of process descriptions.</t>
  </si>
  <si>
    <r>
      <rPr/>
      <t xml:space="preserve">Bellan, P., Ghidini, C., Dragoni, M., Ponzetto, S. P., &amp; van der Aa, H. (2022). Process extraction from natural language text: The PET dataset and annotation guidelines. In D. Nozza, L. C. Passaro, &amp; M. Polignano (Eds.), Proceedings of the Sixth Workshop on Natural Language for Artificial Intelligence (NL4AI 2022) co-located with the 21st International Conference of the Italian Association for Artificial Intelligence (AIIA 2022), Udine, November 30th, 2022* (Vol. 3287, pp. 177–191). CEUR-WS.org. </t>
    </r>
    <r>
      <rPr>
        <color rgb="FF1155CC"/>
        <u/>
      </rPr>
      <t>https://ceur-ws.org/Vol-3287/paper18.pdf</t>
    </r>
  </si>
  <si>
    <t>https://huggingface.co/datasets/patriziobellan/PET</t>
  </si>
  <si>
    <t>MIT License</t>
  </si>
  <si>
    <t>enterprise</t>
  </si>
  <si>
    <t>O,B-Actor,I-Actor,B-Activity,I-Activity,B-Activity Data,I-Activity Data,B-Further Specification,I-Further Specification,B-XOR Gateway,I-XOR Gateway,B-Condition Specification,I-Condition Specification,B-AND Gateway,I-AND Gateway</t>
  </si>
  <si>
    <t>P111</t>
  </si>
  <si>
    <t>D043</t>
  </si>
  <si>
    <t>PROMISE</t>
  </si>
  <si>
    <t>Requirements classified into functional and non-functional sub-types</t>
  </si>
  <si>
    <t>Menzies, T., Krishna, R., Pryor, D. (2016). The Promise Repository of Empirical Software Engineering Data; https://openscience.us/repo. North Carolina State University, Department of Computer Science</t>
  </si>
  <si>
    <t>https://openscience.us/repo/requirements/requirements-other/nfr.html</t>
  </si>
  <si>
    <t>security,real estate,healthcare,finance,services,retail,media,education,gaming,call center,sports,railway</t>
  </si>
  <si>
    <t>Functional,Availability,Legal,Look and feel,Maintainability,Operational,Performance,Scalability,Security,Usability,Fault tolerance,Portability</t>
  </si>
  <si>
    <t>P019,P047,P121,P153</t>
  </si>
  <si>
    <t>D044</t>
  </si>
  <si>
    <t>PROMISE_exp</t>
  </si>
  <si>
    <t>Extension from PROMISE dataset containing requirements classified into functional and non-functional sub-types</t>
  </si>
  <si>
    <t>Lima, M.; Valle, V.; Costa, E.; Lira, F.; Gadelha, B. Software engineering repositories: Expanding the PROMISE database. In Proceedings of the 33rd Brazilian Symposium on Software Engineering, Salvador, Brazil, 23–27 September 2019; pp. 427–436.</t>
  </si>
  <si>
    <t>https://github.com/AleksandarMitrevski/se-requirements-classification</t>
  </si>
  <si>
    <t>P019,P028,P052,P120</t>
  </si>
  <si>
    <t>D045</t>
  </si>
  <si>
    <t>PROMISE_exp_security</t>
  </si>
  <si>
    <t>Extension from PROMISE_exp dataset containing requirements classified as security NFRs and non-security NFRs.</t>
  </si>
  <si>
    <t xml:space="preserve">Subahi, A. F. (2025). Enhancing Software Sustainability: Leveraging Large Language Models to Evaluate Security Requirements Fulfillment in Requirements Engineering. Systems, 13(2), 114. https://doi.org/10.3390/systems13020114 </t>
  </si>
  <si>
    <t>Security,Non-security</t>
  </si>
  <si>
    <t>P019</t>
  </si>
  <si>
    <t>PURE</t>
  </si>
  <si>
    <t>Publicly available natural language requirements documents collected from the Web</t>
  </si>
  <si>
    <t>Ferrari, A., Spagnolo, G. O., &amp; Gnesi, S. (2018). PURE: a Dataset of Public Requirements Documents (2.0) [Data set]. 2017 IEEE 25th International Requirements Engineering Conference (RE), Lisbon, Portugal. Zenodo. https://doi.org/10.5281/zenodo.7118517</t>
  </si>
  <si>
    <t>https://zenodo.org/records/7118517</t>
  </si>
  <si>
    <t>software,railway,aerospace,healthcare,education,finance,media,manufacturing,games</t>
  </si>
  <si>
    <t>P005,P080,P042,P052,P078</t>
  </si>
  <si>
    <t>D047</t>
  </si>
  <si>
    <t>PURE_conflicts</t>
  </si>
  <si>
    <t>Requirements pairs collected from the web from multiple domains labeled as "conflict" or "neutral".</t>
  </si>
  <si>
    <t>D048</t>
  </si>
  <si>
    <t>RailwayReq Corpus</t>
  </si>
  <si>
    <t>Subset of requirements documents sharing the same domain from the PURE dataset</t>
  </si>
  <si>
    <r>
      <rPr/>
      <t xml:space="preserve">Perko, A., &amp; Wotawa, F. (2024). Replication Package for: Evaluating OpenAI Large Language Models for Generating Logical Abstractions of Technical Requirements Documents. 2023 IEEE 23rd International Conference on Software Quality, Reliability, and Security (QRS), Cambridge, United Kingdom. IEEE. </t>
    </r>
    <r>
      <rPr>
        <color rgb="FF1155CC"/>
        <u/>
      </rPr>
      <t>https://doi.org/10.5281/zenodo.11264429</t>
    </r>
  </si>
  <si>
    <t>https://zenodo.org/records/11264429</t>
  </si>
  <si>
    <t>P098</t>
  </si>
  <si>
    <t>D049</t>
  </si>
  <si>
    <t>RE-2019-Materials</t>
  </si>
  <si>
    <t>Multiple dataset extracted from diferent experiments: PROMISE, Dronology, ReqView, Leeds Library and WASP</t>
  </si>
  <si>
    <t>Fabiano Dalpiaz, Davide Dell'Anna, Fatma Başak Aydemir, &amp; Sercan Çevikol. (2019). explainable-re/RE-2019-Materials v0 (Versión v0). Zenodo. https://doi.org/10.5281/zenodo.3309669</t>
  </si>
  <si>
    <t>https://zenodo.org/records/3309669</t>
  </si>
  <si>
    <t>IsFunctional,IsQuality,OnlyFunctional,OnlyQuality</t>
  </si>
  <si>
    <t>D043,D017</t>
  </si>
  <si>
    <t>P121</t>
  </si>
  <si>
    <t>D050</t>
  </si>
  <si>
    <t>ReqEval</t>
  </si>
  <si>
    <t>Collection of requirements orignated from seven distinct domains: spacecraft, diagnostic, digital home, digital library repository management, weather, archive file manipulation and railway.</t>
  </si>
  <si>
    <t>S. Yildirim, G. Malik, M. Cevik and A. Başar, "Anaphora Resolution in Software Requirements Engineering: A Comparison of Generative NLP Pipelines and Encoder-Based Models," 2024 34th International Conference on Collaborative Advances in Software and COmputiNg (CASCON), Toronto, ON, Canada, 2024, pp. 1-6, doi: 10.1109/CASCON62161.2024.10837905.</t>
  </si>
  <si>
    <t>https://github.com/frieden84/nlp4re-reqeval</t>
  </si>
  <si>
    <t>aerospace,healthcare,services,weather,software,railway</t>
  </si>
  <si>
    <t>Nocuous,Inocuous</t>
  </si>
  <si>
    <t>P083</t>
  </si>
  <si>
    <t>D051</t>
  </si>
  <si>
    <t>SecReq</t>
  </si>
  <si>
    <t>Collection of security requirements from three open-source software projects</t>
  </si>
  <si>
    <r>
      <rPr/>
      <t xml:space="preserve">Wang, W., Mahakala, K. R., Gupta, A., Hussein, N., &amp; Wang, Y. (2019). Data on security requirements in open-source software projects. Data in Brief, 25, 103590. </t>
    </r>
    <r>
      <rPr>
        <color rgb="FF1155CC"/>
        <u/>
      </rPr>
      <t>https://doi.org/10.1016/j.dib.2018.12.029</t>
    </r>
  </si>
  <si>
    <t>https://doi.org/10.1016/j.dib.2018.12.029</t>
  </si>
  <si>
    <t>Security</t>
  </si>
  <si>
    <t>P048</t>
  </si>
  <si>
    <t>D052</t>
  </si>
  <si>
    <t>StackOverflow_conflicts</t>
  </si>
  <si>
    <t>Post pairs from StackOverflow labeled as "conflict" or "neutral".</t>
  </si>
  <si>
    <t>D053</t>
  </si>
  <si>
    <t>Synthline_conflicts</t>
  </si>
  <si>
    <t>Collection of requirement datasets from three public datasets (Library,CoffeeMachine,ETCS), one collected dataset (Broker system) and one extended dataset (PROMISE)</t>
  </si>
  <si>
    <r>
      <t xml:space="preserve">-. (2024). Dataset for: Lessons from the Use of Natural Language Inference (NLI) in Requirements Engineering Tasks [Data set]. Zenodo. </t>
    </r>
    <r>
      <rPr>
        <color rgb="FF1155CC"/>
        <u/>
      </rPr>
      <t>https://doi.org/10.5281/zenodo.11000349</t>
    </r>
  </si>
  <si>
    <t>https://zenodo.org/records/11000349</t>
  </si>
  <si>
    <t>Conflicts</t>
  </si>
  <si>
    <t>D033,D012,D019,D043</t>
  </si>
  <si>
    <t>D054</t>
  </si>
  <si>
    <t>Synthline_defects</t>
  </si>
  <si>
    <t>Collection of requirements datasets collected from real software projects and student projects labelled with defect types.</t>
  </si>
  <si>
    <r>
      <rPr/>
      <t xml:space="preserve">-. (2024). Dataset for: Lessons from the Use of Natural Language Inference (NLI) in Requirements Engineering Tasks [Data set]. Zenodo. </t>
    </r>
    <r>
      <rPr>
        <color rgb="FF1155CC"/>
        <u/>
      </rPr>
      <t>https://doi.org/10.5281/zenodo.11000349</t>
    </r>
  </si>
  <si>
    <t>Optional,uncertain,directive,non-atomic,ambiguous,non-mesurable</t>
  </si>
  <si>
    <t>D055</t>
  </si>
  <si>
    <t>UAV_conflicts</t>
  </si>
  <si>
    <t>Requirement pairs related to Unmanned Aerial Vehicle (UAV) control system operations labeled as "conflict" or "neutral"</t>
  </si>
  <si>
    <t>D056</t>
  </si>
  <si>
    <t>Unfair-TOS</t>
  </si>
  <si>
    <t>Collection of terms-of-service (ToS) clauses from 50 ToS agreements of online platforms labelled with fair/unfair labels.</t>
  </si>
  <si>
    <r>
      <rPr/>
      <t xml:space="preserve">Lippi, M., Palka, P., Contissa, G., Lagioia, F., Micklitz, H.W., Sartor, G., Torroni, P.: CLAUDETTE: an automated detector of potentially unfair clauses in online terms of service. Artificial Intelligence and Law 27(2), 117–139 (feb 2019). </t>
    </r>
    <r>
      <rPr>
        <color rgb="FF1155CC"/>
        <u/>
      </rPr>
      <t>https://doi.org/10.1007/s10506-019-09243-2</t>
    </r>
  </si>
  <si>
    <t>http://claudette.eui.eu/ToS.zip</t>
  </si>
  <si>
    <t>Fair,Unfair</t>
  </si>
  <si>
    <t>D057</t>
  </si>
  <si>
    <t>WARC</t>
  </si>
  <si>
    <t>Cross-level requirements dataset for traceability tasks from the WARC healthcare project</t>
  </si>
  <si>
    <t>https://github.com/Gechuyan/Cross-Level-Requirements-Tracing-Based-on-Large-Language-Model/blob/main/Cross-Level%20Requirements%20Tracing%20Based%20on%20Large%20Language%20Model/Data/Original_Data/WARC.csv</t>
  </si>
  <si>
    <t>D058</t>
  </si>
  <si>
    <t>Wei2023</t>
  </si>
  <si>
    <t>Crafted dataset for  bilingual app reviews, which can yield valuable insights for app developers and marketers</t>
  </si>
  <si>
    <t>Wei, J., Courbis, A.-L., Lambolais, T., Xu, B., Bernard, P. L., &amp; Dray, G. (2023). Zero-shot bilingual app reviews mining with large language models. In 2023 IEEE 35th International Conference on Tools with Artificial Intelligence (ICTAI) (pp. 898–904). IEEE. https://doi.org/10.1109/ICTAI59109.2023.00135</t>
  </si>
  <si>
    <t>https://github.com/Jl-wei/mini-bar</t>
  </si>
  <si>
    <t>en,fr</t>
  </si>
  <si>
    <t>P147</t>
  </si>
  <si>
    <t>D059</t>
  </si>
  <si>
    <t>WorldVista_conflicts</t>
  </si>
  <si>
    <t>Requirements pairs related to health management system labeled as "conflict" or "neutral".</t>
  </si>
  <si>
    <t>D060</t>
  </si>
  <si>
    <t>Xanthopoulou2024</t>
  </si>
  <si>
    <t>Collection of requirements datasets for classification on functional and non-functional classes</t>
  </si>
  <si>
    <r>
      <rPr/>
      <t xml:space="preserve">Xanthopoulou, G., Siavvas, M., Kalouptsoglou, I., &amp; Tzovaras, D. (2024, June). Software requirements classification: From bag-of-words to transformer. </t>
    </r>
    <r>
      <rPr>
        <color rgb="FF1155CC"/>
        <u/>
      </rPr>
      <t>https://doi.org/10.13140/RG.2.2.35146.58563</t>
    </r>
  </si>
  <si>
    <t>https://sites.google.com/view/requirementsclassificationwith/</t>
  </si>
  <si>
    <t>Functional,Security,Usability,Operability,Performance,Fault Tolerance,Maintainability,Scalability,Look and Feel,Legal,Portability</t>
  </si>
  <si>
    <t>D046,D043,D051</t>
  </si>
  <si>
    <t>D061</t>
  </si>
  <si>
    <t>Yilongfei2024_1</t>
  </si>
  <si>
    <t>Requirements with their corresponding linear temporal logic (LTL) formulas</t>
  </si>
  <si>
    <t>Y. Xu, J. Feng and W. Miao, "Learning from Failures: Translation of Natural Language Requirements into Linear Temporal Logic with Large Language Models," 2024 IEEE 24th International Conference on Software Quality, Reliability and Security (QRS), Cambridge, United Kingdom, 2024, pp. 204-215, doi: 10.1109/QRS62785.2024.00029.</t>
  </si>
  <si>
    <t>https://huggingface.co/datasets/cRick/NL-to-LTL-Synthetic-Dataset</t>
  </si>
  <si>
    <t>railway,automotive</t>
  </si>
  <si>
    <t>absence_global,universal_global,existence_global,response_global,absence_after,universal_after,existence_after,response_after</t>
  </si>
  <si>
    <t>P097</t>
  </si>
  <si>
    <t>D062</t>
  </si>
  <si>
    <t>Yilongfei2024_2</t>
  </si>
  <si>
    <t>Derived from a public dataset on Huggingface about NL-LTL</t>
  </si>
  <si>
    <t>https://github.com/AnonymousBreeze/LTL-Learner/blob/master/Dataset/Dataset_2.xlsx</t>
  </si>
  <si>
    <t>Values</t>
  </si>
  <si>
    <t>Unique dataset identifier used in this review.</t>
  </si>
  <si>
    <t>Open: ^D\d{3}$</t>
  </si>
  <si>
    <t>Name Short name chosen by the authors or assigned in this review for clarity.</t>
  </si>
  <si>
    <t>Open: short string</t>
  </si>
  <si>
    <t>Description Concise summary of the dataset content and purpose.</t>
  </si>
  <si>
    <t>Open: free text</t>
  </si>
  <si>
    <t>Reference Full citation to the dataset source or accompanying publication.</t>
  </si>
  <si>
    <t>Open: citation string (APA)</t>
  </si>
  <si>
    <t>Year Publication or release year of the dataset.</t>
  </si>
  <si>
    <t>Open: 4-digit integer YYYY</t>
  </si>
  <si>
    <t>URL Persistent link to the dataset or its landing page.</t>
  </si>
  <si>
    <t>Open: URL</t>
  </si>
  <si>
    <t>License SPDX identifier or textual license label if no SPDX applies.</t>
  </si>
  <si>
    <t>Closed: SPDX code</t>
  </si>
  <si>
    <t>Artifact type Type of textual artifact represented in the dataset.</t>
  </si>
  <si>
    <t>Closed: Bug, QA, Requirements, User reviews, Legal text, Post, Questions, User stories, Other</t>
  </si>
  <si>
    <t>Granularity Unit of annotation or analysis in the dataset.</t>
  </si>
  <si>
    <t>Closed: Document, Sentence, Pair, Token, Other</t>
  </si>
  <si>
    <t>RE stage RE stage targeted by the dataset or its primary usage.</t>
  </si>
  <si>
    <t>Closed: elicitation, analysis, specification, management, verification &amp; validation, other</t>
  </si>
  <si>
    <t>Task Primary computational task supported by the dataset.</t>
  </si>
  <si>
    <t>Closed: classification, extraction, traceability, modelling, Q&amp;A, other</t>
  </si>
  <si>
    <t>Domain Application or organizational domain.</t>
  </si>
  <si>
    <t>Size Dataset size in terms of number of textual artifacts.</t>
  </si>
  <si>
    <t>Open: positive integer</t>
  </si>
  <si>
    <t>Languages Language codes in ISO 639-1, comma-separated.</t>
  </si>
  <si>
    <t>Closed: comma-separated list of ISO-639-1 codes</t>
  </si>
  <si>
    <t>Labels Set of class or tag names used in the dataset.</t>
  </si>
  <si>
    <t>Open: comma-separated list of strings (dataset-specific class names)</t>
  </si>
  <si>
    <t>Extends Code of the dataset that this entry extends or derives from.</t>
  </si>
  <si>
    <r>
      <rPr>
        <rFont val="Verdana"/>
        <color theme="1"/>
      </rPr>
      <t>Open:</t>
    </r>
    <r>
      <rPr>
        <rFont val="Verdana"/>
        <i/>
        <color theme="1"/>
      </rPr>
      <t xml:space="preserve"> </t>
    </r>
    <r>
      <rPr>
        <rFont val="Verdana"/>
        <color theme="1"/>
      </rPr>
      <t xml:space="preserve">comma-separated list of </t>
    </r>
    <r>
      <rPr>
        <rFont val="Verdana"/>
        <i/>
        <color theme="1"/>
      </rPr>
      <t>Code</t>
    </r>
    <r>
      <rPr>
        <rFont val="Verdana"/>
        <color theme="1"/>
      </rPr>
      <t xml:space="preserve"> values</t>
    </r>
  </si>
  <si>
    <t>Publications List of publication IDs that use the dataset. Comma-separated.</t>
  </si>
  <si>
    <t>Open: comma-separated list of publication IDs</t>
  </si>
  <si>
    <t>Source</t>
  </si>
  <si>
    <t>Dataset_Count</t>
  </si>
  <si>
    <t>GitHub</t>
  </si>
  <si>
    <t>github.com</t>
  </si>
  <si>
    <t>Zenodo</t>
  </si>
  <si>
    <t>zenodo.org</t>
  </si>
  <si>
    <t>GitFront</t>
  </si>
  <si>
    <t>gitfront.io</t>
  </si>
  <si>
    <t>Hugging Face</t>
  </si>
  <si>
    <t>huggingface.co</t>
  </si>
  <si>
    <t>Mendeley</t>
  </si>
  <si>
    <t>data.mendeley.com</t>
  </si>
  <si>
    <t>IEEE Dataport</t>
  </si>
  <si>
    <t>ieee-dataport.org</t>
  </si>
  <si>
    <t>Figshare</t>
  </si>
  <si>
    <t>figshare.com</t>
  </si>
  <si>
    <t>Anonymous Open Science</t>
  </si>
  <si>
    <t>anonymous.4open.science</t>
  </si>
  <si>
    <t>Elsevier (DOI)</t>
  </si>
  <si>
    <t>elsevier.com</t>
  </si>
  <si>
    <t>Project website</t>
  </si>
  <si>
    <t>dronology.info</t>
  </si>
  <si>
    <t>Springer Link</t>
  </si>
  <si>
    <t>static-content.springer.com</t>
  </si>
  <si>
    <t>IEEE Xplore</t>
  </si>
  <si>
    <t>ieeexplore.ieee.org</t>
  </si>
  <si>
    <t>OpenScience</t>
  </si>
  <si>
    <t>openscience.us</t>
  </si>
  <si>
    <t>Claudette EUI</t>
  </si>
  <si>
    <t>claudette.eui.eu</t>
  </si>
  <si>
    <t>Sites GOogle</t>
  </si>
  <si>
    <t>sites.google.com</t>
  </si>
  <si>
    <t>#datasets</t>
  </si>
  <si>
    <t>Mendeley Data</t>
  </si>
  <si>
    <t>Others</t>
  </si>
  <si>
    <t>#papers</t>
  </si>
  <si>
    <t>CC-BY-SA-4.0</t>
  </si>
  <si>
    <t>CC-BY-4.0</t>
  </si>
  <si>
    <t xml:space="preserve">GPL-3.0-only </t>
  </si>
  <si>
    <t>Other</t>
  </si>
  <si>
    <t>education</t>
  </si>
  <si>
    <t>media</t>
  </si>
  <si>
    <t>retail</t>
  </si>
  <si>
    <t>gaming</t>
  </si>
  <si>
    <t>P1</t>
  </si>
  <si>
    <t>P2</t>
  </si>
  <si>
    <t>P3</t>
  </si>
  <si>
    <t>P4</t>
  </si>
  <si>
    <t>P5;Normal</t>
  </si>
  <si>
    <t>S3</t>
  </si>
  <si>
    <t>S4</t>
  </si>
  <si>
    <t>Critical</t>
  </si>
  <si>
    <t>call center</t>
  </si>
  <si>
    <t>sports</t>
  </si>
  <si>
    <t>Actuator</t>
  </si>
  <si>
    <t>Pre-actuator</t>
  </si>
  <si>
    <t>Sensor</t>
  </si>
  <si>
    <t>Defector</t>
  </si>
  <si>
    <t>real estate</t>
  </si>
  <si>
    <t>Provision 1</t>
  </si>
  <si>
    <t>Provision 2</t>
  </si>
  <si>
    <t>Provision 3</t>
  </si>
  <si>
    <t>Provision 4</t>
  </si>
  <si>
    <t>Provision 5</t>
  </si>
  <si>
    <t>Provision 6</t>
  </si>
  <si>
    <t>Provision 7</t>
  </si>
  <si>
    <t>Provision 8</t>
  </si>
  <si>
    <t>Provision 9</t>
  </si>
  <si>
    <t>Provision 10</t>
  </si>
  <si>
    <t>Provision 11</t>
  </si>
  <si>
    <t>Provision 12</t>
  </si>
  <si>
    <t>Provision 13</t>
  </si>
  <si>
    <t>Provision 14</t>
  </si>
  <si>
    <t>Provision 15</t>
  </si>
  <si>
    <t>Provision 16</t>
  </si>
  <si>
    <t>Provision 17</t>
  </si>
  <si>
    <t>Provision 18</t>
  </si>
  <si>
    <t>Provision 19</t>
  </si>
  <si>
    <t>security</t>
  </si>
  <si>
    <t>Neutral</t>
  </si>
  <si>
    <t>Conflict</t>
  </si>
  <si>
    <t>games</t>
  </si>
  <si>
    <t>Positive</t>
  </si>
  <si>
    <t>Negative</t>
  </si>
  <si>
    <t>business</t>
  </si>
  <si>
    <t>other</t>
  </si>
  <si>
    <t>Consistent</t>
  </si>
  <si>
    <t>Inconsistent</t>
  </si>
  <si>
    <t>Non-Security</t>
  </si>
  <si>
    <t>Usability</t>
  </si>
  <si>
    <t>Portability</t>
  </si>
  <si>
    <t>Performance</t>
  </si>
  <si>
    <t>Availability</t>
  </si>
  <si>
    <t>Authentication</t>
  </si>
  <si>
    <t>Authorization</t>
  </si>
  <si>
    <t>Immunity</t>
  </si>
  <si>
    <t>Integrity</t>
  </si>
  <si>
    <t>Intrusion detection</t>
  </si>
  <si>
    <t>Confidentiality</t>
  </si>
  <si>
    <t>Auditing</t>
  </si>
  <si>
    <t>Survivability</t>
  </si>
  <si>
    <t>Maintainability</t>
  </si>
  <si>
    <t>Functional</t>
  </si>
  <si>
    <t>weather</t>
  </si>
  <si>
    <t>Simplex Contradictory</t>
  </si>
  <si>
    <t>Idem Contradictory</t>
  </si>
  <si>
    <t>Alius Contradictory</t>
  </si>
  <si>
    <t>Simplex Contrary</t>
  </si>
  <si>
    <t>Idem Contrary</t>
  </si>
  <si>
    <t>Alius Contrary</t>
  </si>
  <si>
    <t>Simplex Subaltern</t>
  </si>
  <si>
    <t>Idem Subaltern</t>
  </si>
  <si>
    <t>Alius Subaltern</t>
  </si>
  <si>
    <t>Helpful</t>
  </si>
  <si>
    <t>Useless</t>
  </si>
  <si>
    <t>Feature Request</t>
  </si>
  <si>
    <t>User-friendliness</t>
  </si>
  <si>
    <t>Stability</t>
  </si>
  <si>
    <t>Compatibility</t>
  </si>
  <si>
    <t>_multiple</t>
  </si>
  <si>
    <t>Anger</t>
  </si>
  <si>
    <t>Confusion</t>
  </si>
  <si>
    <t>Disgust</t>
  </si>
  <si>
    <t>Distrust</t>
  </si>
  <si>
    <t>Disappointment</t>
  </si>
  <si>
    <t>Fear</t>
  </si>
  <si>
    <t>Frustration</t>
  </si>
  <si>
    <t>Sadness</t>
  </si>
  <si>
    <t>Uniqueness</t>
  </si>
  <si>
    <t>Conciseness</t>
  </si>
  <si>
    <t>Verifiability</t>
  </si>
  <si>
    <t>Feasibility</t>
  </si>
  <si>
    <t>Avoidance of passive voice</t>
  </si>
  <si>
    <t>Adherence to paradigms</t>
  </si>
  <si>
    <t>Prohibition of symbols</t>
  </si>
  <si>
    <t>Prohibition of pronouns</t>
  </si>
  <si>
    <t>Obligation</t>
  </si>
  <si>
    <t>Entitlement</t>
  </si>
  <si>
    <t>Prohibition</t>
  </si>
  <si>
    <t>Permission</t>
  </si>
  <si>
    <t>No obligation</t>
  </si>
  <si>
    <t>No entitlement</t>
  </si>
  <si>
    <t>Subject</t>
  </si>
  <si>
    <t>Attribute</t>
  </si>
  <si>
    <t>Objec</t>
  </si>
  <si>
    <t>Action</t>
  </si>
  <si>
    <t>Function</t>
  </si>
  <si>
    <t>Value</t>
  </si>
  <si>
    <t>Principle</t>
  </si>
  <si>
    <t>Condition</t>
  </si>
  <si>
    <t>Outside</t>
  </si>
  <si>
    <t>Functional requirements</t>
  </si>
  <si>
    <t>Interface requirements</t>
  </si>
  <si>
    <t>Performance requirements</t>
  </si>
  <si>
    <t>Physical requirements</t>
  </si>
  <si>
    <t>Design constraints</t>
  </si>
  <si>
    <t>B-feature</t>
  </si>
  <si>
    <t>I-feature</t>
  </si>
  <si>
    <t>O</t>
  </si>
  <si>
    <t>Privacy review</t>
  </si>
  <si>
    <t>Privacy-irrelevant review</t>
  </si>
  <si>
    <t>B-Actor</t>
  </si>
  <si>
    <t>I-Actor</t>
  </si>
  <si>
    <t>B-Activity</t>
  </si>
  <si>
    <t>I-Activity</t>
  </si>
  <si>
    <t>B-Activity Data</t>
  </si>
  <si>
    <t>I-Activity Data</t>
  </si>
  <si>
    <t>B-Further Specification</t>
  </si>
  <si>
    <t>I-Further Specification</t>
  </si>
  <si>
    <t>B-XOR Gateway</t>
  </si>
  <si>
    <t>I-XOR Gateway</t>
  </si>
  <si>
    <t>B-Condition Specification</t>
  </si>
  <si>
    <t>I-Condition Specification</t>
  </si>
  <si>
    <t>B-AND Gateway</t>
  </si>
  <si>
    <t>I-AND Gateway</t>
  </si>
  <si>
    <t>Legal</t>
  </si>
  <si>
    <t>Look and feel</t>
  </si>
  <si>
    <t>Operational</t>
  </si>
  <si>
    <t>Scalability</t>
  </si>
  <si>
    <t>Fault tolerance</t>
  </si>
  <si>
    <t>Non-security</t>
  </si>
  <si>
    <t>IsFunctional</t>
  </si>
  <si>
    <t>IsQuality</t>
  </si>
  <si>
    <t>OnlyFunctional</t>
  </si>
  <si>
    <t>OnlyQuality</t>
  </si>
  <si>
    <t>Nocuous</t>
  </si>
  <si>
    <t>Inocuous</t>
  </si>
  <si>
    <t>Optional</t>
  </si>
  <si>
    <t>uncertain</t>
  </si>
  <si>
    <t>directive</t>
  </si>
  <si>
    <t>non-atomic</t>
  </si>
  <si>
    <t>ambiguous</t>
  </si>
  <si>
    <t>non-mesurable</t>
  </si>
  <si>
    <t>Fair</t>
  </si>
  <si>
    <t>Unfair</t>
  </si>
  <si>
    <t>Operability</t>
  </si>
  <si>
    <t>Look and Feel</t>
  </si>
  <si>
    <t>absence_global</t>
  </si>
  <si>
    <t>universal_global</t>
  </si>
  <si>
    <t>existence_global</t>
  </si>
  <si>
    <t>response_global</t>
  </si>
  <si>
    <t>absence_after</t>
  </si>
  <si>
    <t>universal_after</t>
  </si>
  <si>
    <t>existence_after</t>
  </si>
  <si>
    <t>response_after</t>
  </si>
  <si>
    <t>Positive 😊</t>
  </si>
  <si>
    <t>Negative 😊</t>
  </si>
  <si>
    <t>Security 🧩</t>
  </si>
  <si>
    <t>Neutral 😊</t>
  </si>
  <si>
    <t>Conflict 🔗</t>
  </si>
  <si>
    <t>Performance 🧩</t>
  </si>
  <si>
    <t>Usability 🧩</t>
  </si>
  <si>
    <t>Portability 🧩</t>
  </si>
  <si>
    <t>Maintainability 🧩</t>
  </si>
  <si>
    <t>Functional 🧩</t>
  </si>
  <si>
    <t>Consistent 🔗</t>
  </si>
  <si>
    <t>Inconsistent 🔗</t>
  </si>
  <si>
    <t>Availability 🧩</t>
  </si>
  <si>
    <t>Legal 🧩</t>
  </si>
  <si>
    <t>Polarity 😊 | Requirement type 🧩 | Traceability 🔗 | NER BIO-tagging 🔍 | Quality ⭐ | Other 📦</t>
  </si>
  <si>
    <t>Fault tolerance 🧩</t>
  </si>
  <si>
    <t>Scalability 🧩</t>
  </si>
  <si>
    <t>Non-Security 🧩</t>
  </si>
  <si>
    <t>Helpful ⭐</t>
  </si>
  <si>
    <t>Useless ⭐</t>
  </si>
  <si>
    <t>O 🔍</t>
  </si>
  <si>
    <t>Operational 🧩</t>
  </si>
  <si>
    <t>Non-security 🧩</t>
  </si>
  <si>
    <t>Other 📦</t>
  </si>
  <si>
    <t>Total</t>
  </si>
  <si>
    <r>
      <rPr>
        <rFont val="Arial"/>
        <color rgb="FF000000"/>
        <sz val="11.0"/>
      </rPr>
      <t xml:space="preserve">X-Small
</t>
    </r>
    <r>
      <rPr>
        <rFont val="Arial"/>
        <i/>
        <color rgb="FF000000"/>
        <sz val="11.0"/>
      </rPr>
      <t>(&lt;100)</t>
    </r>
  </si>
  <si>
    <r>
      <rPr>
        <rFont val="Arial"/>
        <color rgb="FF000000"/>
        <sz val="11.0"/>
      </rPr>
      <t xml:space="preserve">Small 
</t>
    </r>
    <r>
      <rPr>
        <rFont val="Arial"/>
        <i/>
        <color rgb="FF000000"/>
        <sz val="11.0"/>
      </rPr>
      <t>(100-1K)</t>
    </r>
  </si>
  <si>
    <r>
      <rPr>
        <rFont val="Arial"/>
        <color rgb="FF000000"/>
        <sz val="11.0"/>
      </rPr>
      <t xml:space="preserve">Medium 
</t>
    </r>
    <r>
      <rPr>
        <rFont val="Arial"/>
        <i/>
        <color rgb="FF000000"/>
        <sz val="11.0"/>
      </rPr>
      <t>(1K-10K)</t>
    </r>
  </si>
  <si>
    <r>
      <rPr>
        <rFont val="Arial"/>
        <color rgb="FF000000"/>
        <sz val="11.0"/>
      </rPr>
      <t xml:space="preserve">Large 
</t>
    </r>
    <r>
      <rPr>
        <rFont val="Arial"/>
        <i/>
        <color rgb="FF000000"/>
        <sz val="11.0"/>
      </rPr>
      <t>(10K-100K)</t>
    </r>
  </si>
  <si>
    <r>
      <rPr>
        <rFont val="Arial"/>
        <color rgb="FF000000"/>
        <sz val="11.0"/>
      </rPr>
      <t xml:space="preserve">X-Large 
</t>
    </r>
    <r>
      <rPr>
        <rFont val="Arial"/>
        <i/>
        <color rgb="FF000000"/>
        <sz val="11.0"/>
      </rPr>
      <t>(&gt;100K)</t>
    </r>
  </si>
  <si>
    <t>Activity</t>
  </si>
  <si>
    <t>Elicitation</t>
  </si>
  <si>
    <t>Analysis</t>
  </si>
  <si>
    <t>Specification</t>
  </si>
  <si>
    <t>Management</t>
  </si>
  <si>
    <t>V&amp;V</t>
  </si>
  <si>
    <t>Classification</t>
  </si>
  <si>
    <t>Extraction</t>
  </si>
  <si>
    <t>Modelling</t>
  </si>
  <si>
    <t>Traceability</t>
  </si>
  <si>
    <t>#domains of the dataset</t>
  </si>
  <si>
    <t>#datasets with that number of domains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</si>
</sst>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Verdana"/>
      <scheme val="minor"/>
    </font>
    <font>
      <b/>
      <color theme="1"/>
      <name val="Verdana"/>
      <scheme val="minor"/>
    </font>
    <font>
      <color theme="1"/>
      <name val="Verdana"/>
      <scheme val="minor"/>
    </font>
    <font>
      <u/>
      <color rgb="FF0000FF"/>
      <name val="Roboto"/>
    </font>
    <font>
      <u/>
      <color rgb="FF0000FF"/>
      <name val="Roboto"/>
    </font>
    <font>
      <color theme="1"/>
      <name val="Arial"/>
    </font>
    <font>
      <color rgb="FF000000"/>
      <name val="Verdana"/>
      <scheme val="minor"/>
    </font>
    <font>
      <sz val="11.0"/>
      <color theme="1"/>
      <name val="Verdana"/>
      <scheme val="minor"/>
    </font>
    <font>
      <sz val="11.0"/>
      <color theme="1"/>
      <name val="Arial"/>
    </font>
    <font>
      <sz val="13.0"/>
      <color rgb="FF999999"/>
      <name val="Arial"/>
    </font>
    <font>
      <b/>
      <sz val="11.0"/>
      <color rgb="FF000000"/>
      <name val="Arial"/>
    </font>
    <font>
      <sz val="11.0"/>
      <color rgb="FF999999"/>
      <name val="Arial"/>
    </font>
    <font>
      <sz val="11.0"/>
      <color rgb="FF000000"/>
      <name val="Arial"/>
    </font>
    <font>
      <b/>
      <sz val="11.0"/>
      <color theme="1"/>
      <name val="Arial"/>
    </font>
    <font>
      <b/>
      <sz val="11.0"/>
      <color rgb="FFFFFFFF"/>
      <name val="Arial"/>
    </font>
    <font>
      <sz val="11.0"/>
      <color rgb="FF666666"/>
      <name val="Arial"/>
    </font>
    <font/>
    <font>
      <b/>
      <sz val="11.0"/>
      <color rgb="FF005975"/>
      <name val="Arial"/>
    </font>
  </fonts>
  <fills count="5">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theme="1"/>
        <bgColor theme="1"/>
      </patternFill>
    </fill>
  </fills>
  <borders count="8">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vertical="center"/>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2" numFmtId="0" xfId="0" applyAlignment="1" applyFont="1">
      <alignment readingOrder="0" shrinkToFit="0" vertical="center" wrapText="0"/>
    </xf>
    <xf borderId="0" fillId="0" fontId="4" numFmtId="0" xfId="0" applyAlignment="1" applyFont="1">
      <alignment readingOrder="0" shrinkToFit="0" vertical="center" wrapText="0"/>
    </xf>
    <xf borderId="0" fillId="0" fontId="2" numFmtId="0" xfId="0" applyAlignment="1" applyFont="1">
      <alignment vertical="center"/>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6"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vertical="center"/>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xf borderId="0" fillId="0" fontId="5" numFmtId="0" xfId="0" applyAlignment="1" applyFont="1">
      <alignment readingOrder="0"/>
    </xf>
    <xf borderId="0" fillId="0" fontId="7" numFmtId="0" xfId="0" applyAlignment="1" applyFont="1">
      <alignment readingOrder="0"/>
    </xf>
    <xf borderId="0" fillId="0" fontId="7" numFmtId="0" xfId="0" applyAlignment="1" applyFont="1">
      <alignment horizontal="center"/>
    </xf>
    <xf borderId="0" fillId="0" fontId="7" numFmtId="0" xfId="0" applyFont="1"/>
    <xf borderId="0" fillId="0" fontId="5" numFmtId="0" xfId="0" applyAlignment="1" applyFont="1">
      <alignment vertical="bottom"/>
    </xf>
    <xf borderId="0" fillId="0" fontId="8" numFmtId="0" xfId="0" applyAlignment="1" applyFont="1">
      <alignment readingOrder="0" vertical="bottom"/>
    </xf>
    <xf borderId="0" fillId="0" fontId="8" numFmtId="0" xfId="0" applyAlignment="1" applyFont="1">
      <alignment horizontal="right" vertical="bottom"/>
    </xf>
    <xf borderId="0" fillId="0" fontId="2" numFmtId="0" xfId="0" applyAlignment="1" applyFont="1">
      <alignment readingOrder="0" vertical="center"/>
    </xf>
    <xf borderId="0" fillId="0" fontId="2" numFmtId="0" xfId="0" applyAlignment="1" applyFont="1">
      <alignment readingOrder="0" vertical="center"/>
    </xf>
    <xf borderId="0" fillId="0" fontId="5" numFmtId="0" xfId="0" applyAlignment="1" applyFont="1">
      <alignment horizontal="right" vertical="bottom"/>
    </xf>
    <xf borderId="0" fillId="0" fontId="2" numFmtId="0" xfId="0" applyFont="1"/>
    <xf borderId="0" fillId="0" fontId="7" numFmtId="0" xfId="0" applyAlignment="1" applyFont="1">
      <alignment readingOrder="0" vertical="center"/>
    </xf>
    <xf borderId="0" fillId="0" fontId="7" numFmtId="0" xfId="0" applyAlignment="1" applyFont="1">
      <alignment horizontal="center" readingOrder="0"/>
    </xf>
    <xf borderId="0" fillId="0" fontId="7" numFmtId="0" xfId="0" applyAlignment="1" applyFont="1">
      <alignment horizontal="center" readingOrder="0" vertical="center"/>
    </xf>
    <xf borderId="0" fillId="0" fontId="7" numFmtId="0" xfId="0" applyAlignment="1" applyFont="1">
      <alignment horizontal="center" vertical="center"/>
    </xf>
    <xf borderId="0" fillId="0" fontId="5" numFmtId="0" xfId="0" applyAlignment="1" applyFont="1">
      <alignment vertical="center"/>
    </xf>
    <xf borderId="0" fillId="0" fontId="8" numFmtId="0" xfId="0" applyAlignment="1" applyFont="1">
      <alignment horizontal="center" vertical="center"/>
    </xf>
    <xf borderId="0" fillId="0" fontId="8" numFmtId="0" xfId="0" applyAlignment="1" applyFont="1">
      <alignment vertical="center"/>
    </xf>
    <xf borderId="0" fillId="0" fontId="7" numFmtId="0" xfId="0" applyAlignment="1" applyFont="1">
      <alignment horizontal="center" vertical="center"/>
    </xf>
    <xf borderId="0" fillId="0" fontId="8" numFmtId="0" xfId="0" applyAlignment="1" applyFont="1">
      <alignment horizontal="center" readingOrder="0" vertical="center"/>
    </xf>
    <xf borderId="0" fillId="0" fontId="7" numFmtId="0" xfId="0" applyAlignment="1" applyFont="1">
      <alignment horizontal="center" readingOrder="0" vertical="center"/>
    </xf>
    <xf borderId="0" fillId="0" fontId="2" numFmtId="0" xfId="0" applyAlignment="1" applyFont="1">
      <alignment readingOrder="0"/>
    </xf>
    <xf borderId="0" fillId="0" fontId="9" numFmtId="0" xfId="0" applyAlignment="1" applyFont="1">
      <alignment horizontal="center" readingOrder="0"/>
    </xf>
    <xf borderId="1" fillId="0" fontId="7" numFmtId="0" xfId="0" applyBorder="1" applyFont="1"/>
    <xf borderId="1" fillId="0" fontId="7" numFmtId="0" xfId="0" applyAlignment="1" applyBorder="1" applyFont="1">
      <alignment horizontal="center"/>
    </xf>
    <xf borderId="1" fillId="0" fontId="2" numFmtId="0" xfId="0" applyBorder="1" applyFont="1"/>
    <xf borderId="1" fillId="0" fontId="10" numFmtId="0" xfId="0" applyAlignment="1" applyBorder="1" applyFont="1">
      <alignment horizontal="center" readingOrder="0"/>
    </xf>
    <xf borderId="2" fillId="0" fontId="11" numFmtId="0" xfId="0" applyAlignment="1" applyBorder="1" applyFont="1">
      <alignment readingOrder="0" textRotation="90"/>
    </xf>
    <xf borderId="1" fillId="0" fontId="12" numFmtId="0" xfId="0" applyAlignment="1" applyBorder="1" applyFont="1">
      <alignment horizontal="right" readingOrder="0"/>
    </xf>
    <xf borderId="1" fillId="0" fontId="13" numFmtId="0" xfId="0" applyAlignment="1" applyBorder="1" applyFont="1">
      <alignment horizontal="center" readingOrder="0"/>
    </xf>
    <xf borderId="1" fillId="0" fontId="14" numFmtId="0" xfId="0" applyAlignment="1" applyBorder="1" applyFont="1">
      <alignment horizontal="center" readingOrder="0"/>
    </xf>
    <xf borderId="1" fillId="2" fontId="15" numFmtId="0" xfId="0" applyAlignment="1" applyBorder="1" applyFill="1" applyFont="1">
      <alignment horizontal="center" readingOrder="0"/>
    </xf>
    <xf borderId="1" fillId="3" fontId="14" numFmtId="0" xfId="0" applyAlignment="1" applyBorder="1" applyFill="1" applyFont="1">
      <alignment horizontal="center" readingOrder="0"/>
    </xf>
    <xf borderId="0" fillId="3" fontId="13" numFmtId="0" xfId="0" applyAlignment="1" applyFont="1">
      <alignment horizontal="center" readingOrder="0"/>
    </xf>
    <xf borderId="3" fillId="0" fontId="16" numFmtId="0" xfId="0" applyBorder="1" applyFont="1"/>
    <xf borderId="1" fillId="3" fontId="13" numFmtId="0" xfId="0" applyAlignment="1" applyBorder="1" applyFont="1">
      <alignment horizontal="center" readingOrder="0"/>
    </xf>
    <xf borderId="4" fillId="0" fontId="16" numFmtId="0" xfId="0" applyBorder="1" applyFont="1"/>
    <xf borderId="1" fillId="3" fontId="7" numFmtId="0" xfId="0" applyBorder="1" applyFont="1"/>
    <xf borderId="1" fillId="3" fontId="2" numFmtId="0" xfId="0" applyBorder="1" applyFont="1"/>
    <xf borderId="1" fillId="2" fontId="2" numFmtId="0" xfId="0" applyBorder="1" applyFont="1"/>
    <xf borderId="0" fillId="3" fontId="12" numFmtId="0" xfId="0" applyAlignment="1" applyFont="1">
      <alignment horizontal="center" readingOrder="0" textRotation="0" vertical="top"/>
    </xf>
    <xf borderId="1" fillId="0" fontId="13" numFmtId="0" xfId="0" applyAlignment="1" applyBorder="1" applyFont="1">
      <alignment horizontal="center"/>
    </xf>
    <xf borderId="1" fillId="0" fontId="14" numFmtId="0" xfId="0" applyAlignment="1" applyBorder="1" applyFont="1">
      <alignment horizontal="center"/>
    </xf>
    <xf borderId="1" fillId="2" fontId="12" numFmtId="0" xfId="0" applyAlignment="1" applyBorder="1" applyFont="1">
      <alignment horizontal="center" readingOrder="0"/>
    </xf>
    <xf borderId="1" fillId="4" fontId="14" numFmtId="0" xfId="0" applyAlignment="1" applyBorder="1" applyFill="1" applyFont="1">
      <alignment horizontal="center" readingOrder="0"/>
    </xf>
    <xf borderId="0" fillId="3" fontId="11" numFmtId="0" xfId="0" applyAlignment="1" applyFont="1">
      <alignment horizontal="center" readingOrder="0"/>
    </xf>
    <xf borderId="1" fillId="0" fontId="8" numFmtId="0" xfId="0" applyBorder="1" applyFont="1"/>
    <xf borderId="1" fillId="0" fontId="12" numFmtId="0" xfId="0" applyAlignment="1" applyBorder="1" applyFont="1">
      <alignment horizontal="center" readingOrder="0" textRotation="0" vertical="top"/>
    </xf>
    <xf borderId="1" fillId="3" fontId="11" numFmtId="0" xfId="0" applyAlignment="1" applyBorder="1" applyFont="1">
      <alignment horizontal="center" readingOrder="0"/>
    </xf>
    <xf borderId="1" fillId="0" fontId="12" numFmtId="0" xfId="0" applyAlignment="1" applyBorder="1" applyFont="1">
      <alignment horizontal="center" readingOrder="0" vertical="top"/>
    </xf>
    <xf borderId="5" fillId="0" fontId="11" numFmtId="0" xfId="0" applyAlignment="1" applyBorder="1" applyFont="1">
      <alignment horizontal="center" readingOrder="0"/>
    </xf>
    <xf borderId="6" fillId="0" fontId="16" numFmtId="0" xfId="0" applyBorder="1" applyFont="1"/>
    <xf borderId="7" fillId="0" fontId="16" numFmtId="0" xfId="0" applyBorder="1" applyFont="1"/>
    <xf borderId="2" fillId="3" fontId="11" numFmtId="0" xfId="0" applyAlignment="1" applyBorder="1" applyFont="1">
      <alignment readingOrder="0" textRotation="90"/>
    </xf>
    <xf borderId="1" fillId="3" fontId="12" numFmtId="0" xfId="0" applyAlignment="1" applyBorder="1" applyFont="1">
      <alignment horizontal="right" readingOrder="0"/>
    </xf>
    <xf borderId="1" fillId="3" fontId="17" numFmtId="0" xfId="0" applyAlignment="1" applyBorder="1" applyFont="1">
      <alignment horizontal="center" readingOrder="0"/>
    </xf>
    <xf borderId="1" fillId="3" fontId="11" numFmtId="0" xfId="0" applyAlignment="1" applyBorder="1" applyFont="1">
      <alignment readingOrder="0" textRotation="90"/>
    </xf>
    <xf borderId="1" fillId="3" fontId="8" numFmtId="0" xfId="0" applyBorder="1" applyFont="1"/>
    <xf borderId="1" fillId="3" fontId="12" numFmtId="0" xfId="0" applyAlignment="1" applyBorder="1" applyFont="1">
      <alignment horizontal="center" readingOrder="0" textRotation="0" vertical="top"/>
    </xf>
    <xf borderId="5" fillId="3" fontId="11" numFmtId="0" xfId="0" applyAlignment="1" applyBorder="1" applyFont="1">
      <alignment horizontal="center" readingOrder="0"/>
    </xf>
    <xf borderId="0" fillId="0" fontId="7" numFmtId="0" xfId="0" applyAlignment="1" applyFont="1">
      <alignment horizontal="center" readingOrder="0"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5">
    <tableStyle count="4" pivot="0" name="datasets-style">
      <tableStyleElement dxfId="1" type="headerRow"/>
      <tableStyleElement dxfId="2" type="firstRowStripe"/>
      <tableStyleElement dxfId="3" type="secondRowStripe"/>
      <tableStyleElement dxfId="4" size="0" type="wholeTable"/>
    </tableStyle>
    <tableStyle count="2" pivot="0" name="plots-style">
      <tableStyleElement dxfId="2" type="firstRowStripe"/>
      <tableStyleElement dxfId="3" type="secondRowStripe"/>
    </tableStyle>
    <tableStyle count="2" pivot="0" name="plots-style 2">
      <tableStyleElement dxfId="2" type="firstRowStripe"/>
      <tableStyleElement dxfId="3" type="secondRowStripe"/>
    </tableStyle>
    <tableStyle count="2" pivot="0" name="plots-style 3">
      <tableStyleElement dxfId="2" type="firstRowStripe"/>
      <tableStyleElement dxfId="3" type="secondRowStripe"/>
    </tableStyle>
    <tableStyle count="2" pivot="0" name="plots-style 4">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tx>
            <c:strRef>
              <c:f>plots!$B$18</c:f>
            </c:strRef>
          </c:tx>
          <c:dPt>
            <c:idx val="0"/>
            <c:spPr>
              <a:solidFill>
                <a:srgbClr val="0078B8"/>
              </a:solidFill>
              <a:ln cmpd="sng" w="9525">
                <a:solidFill>
                  <a:srgbClr val="FFFFFF"/>
                </a:solidFill>
              </a:ln>
            </c:spPr>
          </c:dPt>
          <c:dPt>
            <c:idx val="1"/>
            <c:spPr>
              <a:solidFill>
                <a:srgbClr val="0091DE"/>
              </a:solidFill>
              <a:ln cmpd="sng" w="9525">
                <a:solidFill>
                  <a:srgbClr val="FFFFFF"/>
                </a:solidFill>
              </a:ln>
            </c:spPr>
          </c:dPt>
          <c:dPt>
            <c:idx val="2"/>
            <c:spPr>
              <a:solidFill>
                <a:srgbClr val="00A3FA"/>
              </a:solidFill>
              <a:ln cmpd="sng" w="9525">
                <a:solidFill>
                  <a:srgbClr val="FFFFFF"/>
                </a:solidFill>
              </a:ln>
            </c:spPr>
          </c:dPt>
          <c:dPt>
            <c:idx val="3"/>
            <c:spPr>
              <a:solidFill>
                <a:srgbClr val="42BDFF"/>
              </a:solidFill>
              <a:ln cmpd="sng" w="9525">
                <a:solidFill>
                  <a:srgbClr val="FFFFFF"/>
                </a:solidFill>
              </a:ln>
            </c:spPr>
          </c:dPt>
          <c:dPt>
            <c:idx val="4"/>
            <c:spPr>
              <a:solidFill>
                <a:srgbClr val="6ECCFF"/>
              </a:solidFill>
              <a:ln cmpd="sng" w="9525">
                <a:solidFill>
                  <a:srgbClr val="FFFFFF"/>
                </a:solidFill>
              </a:ln>
            </c:spPr>
          </c:dPt>
          <c:dPt>
            <c:idx val="5"/>
            <c:spPr>
              <a:solidFill>
                <a:srgbClr val="8FE1FF"/>
              </a:solidFill>
              <a:ln cmpd="sng" w="9525">
                <a:solidFill>
                  <a:srgbClr val="FFFFFF"/>
                </a:solidFill>
              </a:ln>
            </c:spPr>
          </c:dPt>
          <c:dLbls>
            <c:dLbl>
              <c:idx val="0"/>
              <c:txPr>
                <a:bodyPr/>
                <a:lstStyle/>
                <a:p>
                  <a:pPr lvl="0">
                    <a:defRPr sz="3000"/>
                  </a:pPr>
                </a:p>
              </c:txPr>
              <c:showLegendKey val="0"/>
              <c:showVal val="1"/>
              <c:showCatName val="0"/>
              <c:showSerName val="0"/>
              <c:showPercent val="0"/>
              <c:showBubbleSize val="0"/>
            </c:dLbl>
            <c:dLbl>
              <c:idx val="1"/>
              <c:txPr>
                <a:bodyPr/>
                <a:lstStyle/>
                <a:p>
                  <a:pPr lvl="0">
                    <a:defRPr sz="3000"/>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plots!$A$19:$A$24</c:f>
            </c:strRef>
          </c:cat>
          <c:val>
            <c:numRef>
              <c:f>plots!$B$19:$B$24</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i="0" sz="2400">
              <a:solidFill>
                <a:srgbClr val="000000"/>
              </a:solidFill>
              <a:latin typeface="Arial"/>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plots!$B$47</c:f>
            </c:strRef>
          </c:tx>
          <c:spPr>
            <a:ln cmpd="sng" w="19050">
              <a:solidFill>
                <a:schemeClr val="accent1"/>
              </a:solidFill>
              <a:prstDash val="solid"/>
            </a:ln>
          </c:spPr>
          <c:marker>
            <c:symbol val="circle"/>
            <c:size val="7"/>
            <c:spPr>
              <a:solidFill>
                <a:schemeClr val="accent1"/>
              </a:solidFill>
              <a:ln cmpd="sng">
                <a:solidFill>
                  <a:schemeClr val="accent1"/>
                </a:solidFill>
              </a:ln>
            </c:spPr>
          </c:marker>
          <c:dPt>
            <c:idx val="7"/>
            <c:marker>
              <c:symbol val="none"/>
            </c:marker>
          </c:dPt>
          <c:dPt>
            <c:idx val="8"/>
            <c:marker>
              <c:symbol val="none"/>
            </c:marker>
          </c:dPt>
          <c:dPt>
            <c:idx val="9"/>
            <c:marker>
              <c:symbol val="none"/>
            </c:marker>
          </c:dPt>
          <c:dLbls>
            <c:dLbl>
              <c:idx val="7"/>
              <c:layout>
                <c:manualLayout>
                  <c:xMode val="edge"/>
                  <c:yMode val="edge"/>
                  <c:x val="0.7691380042979576"/>
                  <c:y val="0.5328054298642534"/>
                </c:manualLayout>
              </c:layout>
              <c:numFmt formatCode="General" sourceLinked="1"/>
              <c:txPr>
                <a:bodyPr/>
                <a:lstStyle/>
                <a:p>
                  <a:pPr lvl="0">
                    <a:defRPr sz="2400">
                      <a:latin typeface="Arial"/>
                    </a:defRPr>
                  </a:pPr>
                </a:p>
              </c:txPr>
              <c:showLegendKey val="0"/>
              <c:showVal val="1"/>
              <c:showCatName val="0"/>
              <c:showSerName val="0"/>
              <c:showPercent val="0"/>
              <c:showBubbleSize val="0"/>
            </c:dLbl>
            <c:dLbl>
              <c:idx val="8"/>
              <c:layout>
                <c:manualLayout>
                  <c:xMode val="edge"/>
                  <c:yMode val="edge"/>
                  <c:x val="0.8626927086789837"/>
                  <c:y val="0.5028280542986425"/>
                </c:manualLayout>
              </c:layout>
              <c:numFmt formatCode="General" sourceLinked="1"/>
              <c:txPr>
                <a:bodyPr/>
                <a:lstStyle/>
                <a:p>
                  <a:pPr lvl="0">
                    <a:defRPr sz="2400">
                      <a:latin typeface="Arial"/>
                    </a:defRPr>
                  </a:pPr>
                </a:p>
              </c:txPr>
              <c:showLegendKey val="0"/>
              <c:showVal val="1"/>
              <c:showCatName val="0"/>
              <c:showSerName val="0"/>
              <c:showPercent val="0"/>
              <c:showBubbleSize val="0"/>
            </c:dLbl>
            <c:dLbl>
              <c:idx val="9"/>
              <c:layout>
                <c:manualLayout>
                  <c:xMode val="edge"/>
                  <c:yMode val="edge"/>
                  <c:x val="0.9688621723014149"/>
                  <c:y val="0.37443438914027155"/>
                </c:manualLayout>
              </c:layout>
              <c:numFmt formatCode="General" sourceLinked="1"/>
              <c:txPr>
                <a:bodyPr/>
                <a:lstStyle/>
                <a:p>
                  <a:pPr lvl="0">
                    <a:defRPr sz="2400">
                      <a:latin typeface="Arial"/>
                    </a:defRPr>
                  </a:pPr>
                </a:p>
              </c:txPr>
              <c:showLegendKey val="0"/>
              <c:showVal val="1"/>
              <c:showCatName val="0"/>
              <c:showSerName val="0"/>
              <c:showPercent val="0"/>
              <c:showBubbleSize val="0"/>
            </c:dLbl>
            <c:numFmt formatCode="General" sourceLinked="1"/>
            <c:txPr>
              <a:bodyPr/>
              <a:lstStyle/>
              <a:p>
                <a:pPr lvl="0">
                  <a:defRPr sz="2400">
                    <a:latin typeface="Arial"/>
                  </a:defRPr>
                </a:pPr>
              </a:p>
            </c:txPr>
            <c:showLegendKey val="0"/>
            <c:showVal val="1"/>
            <c:showCatName val="0"/>
            <c:showSerName val="0"/>
            <c:showPercent val="0"/>
            <c:showBubbleSize val="0"/>
          </c:dLbls>
          <c:cat>
            <c:strRef>
              <c:f>plots!$A$48:$A$57</c:f>
            </c:strRef>
          </c:cat>
          <c:val>
            <c:numRef>
              <c:f>plots!$B$48:$B$57</c:f>
              <c:numCache/>
            </c:numRef>
          </c:val>
          <c:smooth val="0"/>
        </c:ser>
        <c:ser>
          <c:idx val="1"/>
          <c:order val="1"/>
          <c:tx>
            <c:v>#studies</c:v>
          </c:tx>
          <c:spPr>
            <a:ln cmpd="sng">
              <a:solidFill>
                <a:srgbClr val="BF9000">
                  <a:alpha val="100000"/>
                </a:srgbClr>
              </a:solidFill>
            </a:ln>
          </c:spPr>
          <c:marker>
            <c:symbol val="circle"/>
            <c:size val="7"/>
            <c:spPr>
              <a:solidFill>
                <a:srgbClr val="BF9000">
                  <a:alpha val="100000"/>
                </a:srgbClr>
              </a:solidFill>
              <a:ln cmpd="sng">
                <a:solidFill>
                  <a:srgbClr val="BF9000">
                    <a:alpha val="100000"/>
                  </a:srgbClr>
                </a:solidFill>
              </a:ln>
            </c:spPr>
          </c:marker>
          <c:dLbls>
            <c:numFmt formatCode="General" sourceLinked="1"/>
            <c:txPr>
              <a:bodyPr/>
              <a:lstStyle/>
              <a:p>
                <a:pPr lvl="0">
                  <a:defRPr sz="2400"/>
                </a:pPr>
              </a:p>
            </c:txPr>
            <c:showLegendKey val="0"/>
            <c:showVal val="1"/>
            <c:showCatName val="0"/>
            <c:showSerName val="0"/>
            <c:showPercent val="0"/>
            <c:showBubbleSize val="0"/>
          </c:dLbls>
          <c:cat>
            <c:strRef>
              <c:f>plots!$A$48:$A$57</c:f>
            </c:strRef>
          </c:cat>
          <c:val>
            <c:numRef>
              <c:f>plots!$C$48:$C$57</c:f>
              <c:numCache/>
            </c:numRef>
          </c:val>
          <c:smooth val="0"/>
        </c:ser>
        <c:axId val="238075348"/>
        <c:axId val="1270193629"/>
      </c:lineChart>
      <c:catAx>
        <c:axId val="238075348"/>
        <c:scaling>
          <c:orientation val="minMax"/>
          <c:max val="2025.0"/>
        </c:scaling>
        <c:delete val="0"/>
        <c:axPos val="b"/>
        <c:title>
          <c:tx>
            <c:rich>
              <a:bodyPr/>
              <a:lstStyle/>
              <a:p>
                <a:pPr lvl="0">
                  <a:defRPr b="0" sz="2000">
                    <a:solidFill>
                      <a:srgbClr val="000000"/>
                    </a:solidFill>
                    <a:latin typeface="Arial"/>
                  </a:defRPr>
                </a:pPr>
                <a:r>
                  <a:rPr b="0" sz="2000">
                    <a:solidFill>
                      <a:srgbClr val="000000"/>
                    </a:solidFill>
                    <a:latin typeface="Arial"/>
                  </a:rPr>
                  <a:t/>
                </a:r>
              </a:p>
            </c:rich>
          </c:tx>
          <c:layout>
            <c:manualLayout>
              <c:xMode val="edge"/>
              <c:yMode val="edge"/>
              <c:x val="0.13122218423241108"/>
              <c:y val="0.8709911040145986"/>
            </c:manualLayout>
          </c:layout>
          <c:overlay val="0"/>
        </c:title>
        <c:numFmt formatCode="General" sourceLinked="1"/>
        <c:majorTickMark val="none"/>
        <c:minorTickMark val="none"/>
        <c:spPr/>
        <c:txPr>
          <a:bodyPr/>
          <a:lstStyle/>
          <a:p>
            <a:pPr lvl="0">
              <a:defRPr b="0" sz="2000">
                <a:solidFill>
                  <a:srgbClr val="000000"/>
                </a:solidFill>
                <a:latin typeface="Arial"/>
              </a:defRPr>
            </a:pPr>
          </a:p>
        </c:txPr>
        <c:crossAx val="1270193629"/>
      </c:catAx>
      <c:valAx>
        <c:axId val="1270193629"/>
        <c:scaling>
          <c:orientation val="minMax"/>
          <c:max val="28.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2000">
                    <a:solidFill>
                      <a:srgbClr val="000000"/>
                    </a:solidFill>
                    <a:latin typeface="Arial"/>
                  </a:defRPr>
                </a:pPr>
                <a:r>
                  <a:rPr b="0" sz="2000">
                    <a:solidFill>
                      <a:srgbClr val="000000"/>
                    </a:solidFill>
                    <a:latin typeface="Arial"/>
                  </a:rPr>
                  <a:t/>
                </a:r>
              </a:p>
            </c:rich>
          </c:tx>
          <c:layout>
            <c:manualLayout>
              <c:xMode val="edge"/>
              <c:yMode val="edge"/>
              <c:x val="0.055096695419276066"/>
              <c:y val="0.0578125"/>
            </c:manualLayout>
          </c:layout>
          <c:overlay val="0"/>
        </c:title>
        <c:numFmt formatCode="General" sourceLinked="1"/>
        <c:majorTickMark val="none"/>
        <c:minorTickMark val="none"/>
        <c:tickLblPos val="nextTo"/>
        <c:spPr>
          <a:ln/>
        </c:spPr>
        <c:txPr>
          <a:bodyPr/>
          <a:lstStyle/>
          <a:p>
            <a:pPr lvl="0">
              <a:defRPr b="0" sz="2000">
                <a:solidFill>
                  <a:srgbClr val="999999"/>
                </a:solidFill>
                <a:latin typeface="Arial"/>
              </a:defRPr>
            </a:pPr>
          </a:p>
        </c:txPr>
        <c:crossAx val="238075348"/>
        <c:majorUnit val="5.0"/>
      </c:valAx>
    </c:plotArea>
    <c:legend>
      <c:legendPos val="r"/>
      <c:layout>
        <c:manualLayout>
          <c:xMode val="edge"/>
          <c:yMode val="edge"/>
          <c:x val="0.35883965794044204"/>
          <c:y val="0.09216867469879518"/>
        </c:manualLayout>
      </c:layout>
      <c:overlay val="0"/>
      <c:txPr>
        <a:bodyPr/>
        <a:lstStyle/>
        <a:p>
          <a:pPr lvl="0">
            <a:defRPr b="0" sz="1800">
              <a:solidFill>
                <a:srgbClr val="1A6A83"/>
              </a:solidFill>
              <a:latin typeface="Arial"/>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8724489968920512"/>
          <c:y val="0.06736111111111108"/>
          <c:w val="0.8801020390863052"/>
          <c:h val="0.4265625"/>
        </c:manualLayout>
      </c:layout>
      <c:barChart>
        <c:barDir val="col"/>
        <c:ser>
          <c:idx val="0"/>
          <c:order val="0"/>
          <c:spPr>
            <a:solidFill>
              <a:schemeClr val="accent1"/>
            </a:solidFill>
            <a:ln cmpd="sng">
              <a:solidFill>
                <a:srgbClr val="000000"/>
              </a:solidFill>
            </a:ln>
          </c:spPr>
          <c:dPt>
            <c:idx val="9"/>
          </c:dPt>
          <c:dLbls>
            <c:numFmt formatCode="General" sourceLinked="1"/>
            <c:txPr>
              <a:bodyPr/>
              <a:lstStyle/>
              <a:p>
                <a:pPr lvl="0">
                  <a:defRPr sz="2400"/>
                </a:pPr>
              </a:p>
            </c:txPr>
            <c:showLegendKey val="0"/>
            <c:showVal val="1"/>
            <c:showCatName val="0"/>
            <c:showSerName val="0"/>
            <c:showPercent val="0"/>
            <c:showBubbleSize val="0"/>
          </c:dLbls>
          <c:cat>
            <c:strRef>
              <c:f>plots!$D$141:$D$161</c:f>
            </c:strRef>
          </c:cat>
          <c:val>
            <c:numRef>
              <c:f>plots!$E$141:$E$161</c:f>
              <c:numCache/>
            </c:numRef>
          </c:val>
        </c:ser>
        <c:axId val="1381718188"/>
        <c:axId val="1764519767"/>
      </c:barChart>
      <c:catAx>
        <c:axId val="1381718188"/>
        <c:scaling>
          <c:orientation val="minMax"/>
        </c:scaling>
        <c:delete val="0"/>
        <c:axPos val="b"/>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spPr/>
        <c:txPr>
          <a:bodyPr rot="-3600000"/>
          <a:lstStyle/>
          <a:p>
            <a:pPr lvl="0">
              <a:defRPr b="0" sz="2000">
                <a:solidFill>
                  <a:srgbClr val="000000"/>
                </a:solidFill>
                <a:latin typeface="+mn-lt"/>
              </a:defRPr>
            </a:pPr>
          </a:p>
        </c:txPr>
        <c:crossAx val="1764519767"/>
      </c:catAx>
      <c:valAx>
        <c:axId val="17645197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5975"/>
                    </a:solidFill>
                    <a:latin typeface="+mn-lt"/>
                  </a:defRPr>
                </a:pPr>
                <a:r>
                  <a:rPr b="0">
                    <a:solidFill>
                      <a:srgbClr val="005975"/>
                    </a:solidFill>
                    <a:latin typeface="+mn-lt"/>
                  </a:rPr>
                  <a:t/>
                </a:r>
              </a:p>
            </c:rich>
          </c:tx>
          <c:overlay val="0"/>
        </c:title>
        <c:numFmt formatCode="General" sourceLinked="1"/>
        <c:majorTickMark val="none"/>
        <c:minorTickMark val="none"/>
        <c:tickLblPos val="nextTo"/>
        <c:spPr>
          <a:ln/>
        </c:spPr>
        <c:txPr>
          <a:bodyPr/>
          <a:lstStyle/>
          <a:p>
            <a:pPr lvl="0">
              <a:defRPr b="0" sz="2000">
                <a:solidFill>
                  <a:srgbClr val="999999"/>
                </a:solidFill>
                <a:latin typeface="+mn-lt"/>
              </a:defRPr>
            </a:pPr>
          </a:p>
        </c:txPr>
        <c:crossAx val="1381718188"/>
      </c:valAx>
    </c:plotArea>
    <c:legend>
      <c:legendPos val="r"/>
      <c:overlay val="0"/>
      <c:txPr>
        <a:bodyPr/>
        <a:lstStyle/>
        <a:p>
          <a:pPr lvl="0">
            <a:defRPr b="0">
              <a:solidFill>
                <a:srgbClr val="1A6A83"/>
              </a:solidFill>
              <a:latin typeface="+mn-lt"/>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60430821702053"/>
          <c:y val="0.08355704697986574"/>
          <c:w val="0.9170634937935136"/>
          <c:h val="0.502013422818792"/>
        </c:manualLayout>
      </c:layout>
      <c:barChart>
        <c:barDir val="col"/>
        <c:ser>
          <c:idx val="0"/>
          <c:order val="0"/>
          <c:spPr>
            <a:solidFill>
              <a:schemeClr val="accent1"/>
            </a:solidFill>
            <a:ln cmpd="sng">
              <a:solidFill>
                <a:srgbClr val="000000"/>
              </a:solidFill>
            </a:ln>
          </c:spPr>
          <c:dLbls>
            <c:numFmt formatCode="General" sourceLinked="1"/>
            <c:txPr>
              <a:bodyPr/>
              <a:lstStyle/>
              <a:p>
                <a:pPr lvl="0">
                  <a:defRPr sz="2400"/>
                </a:pPr>
              </a:p>
            </c:txPr>
            <c:showLegendKey val="0"/>
            <c:showVal val="1"/>
            <c:showCatName val="0"/>
            <c:showSerName val="0"/>
            <c:showPercent val="0"/>
            <c:showBubbleSize val="0"/>
          </c:dLbls>
          <c:cat>
            <c:strRef>
              <c:f>plots!$P$65:$P$72</c:f>
            </c:strRef>
          </c:cat>
          <c:val>
            <c:numRef>
              <c:f>plots!$Q$65:$Q$72</c:f>
              <c:numCache/>
            </c:numRef>
          </c:val>
        </c:ser>
        <c:axId val="1836639251"/>
        <c:axId val="1801629854"/>
      </c:barChart>
      <c:catAx>
        <c:axId val="1836639251"/>
        <c:scaling>
          <c:orientation val="minMax"/>
        </c:scaling>
        <c:delete val="0"/>
        <c:axPos val="b"/>
        <c:title>
          <c:tx>
            <c:rich>
              <a:bodyPr/>
              <a:lstStyle/>
              <a:p>
                <a:pPr lvl="0">
                  <a:defRPr b="0">
                    <a:solidFill>
                      <a:srgbClr val="005975"/>
                    </a:solidFill>
                    <a:latin typeface="Arial"/>
                  </a:defRPr>
                </a:pPr>
                <a:r>
                  <a:rPr b="0">
                    <a:solidFill>
                      <a:srgbClr val="005975"/>
                    </a:solidFill>
                    <a:latin typeface="Arial"/>
                  </a:rPr>
                  <a:t/>
                </a:r>
              </a:p>
            </c:rich>
          </c:tx>
          <c:overlay val="0"/>
        </c:title>
        <c:numFmt formatCode="General" sourceLinked="1"/>
        <c:majorTickMark val="none"/>
        <c:minorTickMark val="none"/>
        <c:spPr/>
        <c:txPr>
          <a:bodyPr/>
          <a:lstStyle/>
          <a:p>
            <a:pPr lvl="0">
              <a:defRPr b="0" sz="2400">
                <a:solidFill>
                  <a:srgbClr val="000000"/>
                </a:solidFill>
                <a:latin typeface="Arial"/>
              </a:defRPr>
            </a:pPr>
          </a:p>
        </c:txPr>
        <c:crossAx val="1801629854"/>
      </c:catAx>
      <c:valAx>
        <c:axId val="18016298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5975"/>
                    </a:solidFill>
                    <a:latin typeface="Arial"/>
                  </a:defRPr>
                </a:pPr>
                <a:r>
                  <a:rPr b="0">
                    <a:solidFill>
                      <a:srgbClr val="005975"/>
                    </a:solidFill>
                    <a:latin typeface="Arial"/>
                  </a:rPr>
                  <a:t/>
                </a:r>
              </a:p>
            </c:rich>
          </c:tx>
          <c:overlay val="0"/>
        </c:title>
        <c:numFmt formatCode="General" sourceLinked="1"/>
        <c:majorTickMark val="none"/>
        <c:minorTickMark val="none"/>
        <c:tickLblPos val="nextTo"/>
        <c:spPr>
          <a:ln/>
        </c:spPr>
        <c:txPr>
          <a:bodyPr/>
          <a:lstStyle/>
          <a:p>
            <a:pPr lvl="0">
              <a:defRPr b="0" sz="2000">
                <a:solidFill>
                  <a:srgbClr val="999999"/>
                </a:solidFill>
                <a:latin typeface="Arial"/>
              </a:defRPr>
            </a:pPr>
          </a:p>
        </c:txPr>
        <c:crossAx val="1836639251"/>
      </c:valAx>
    </c:plotArea>
    <c:legend>
      <c:legendPos val="r"/>
      <c:overlay val="0"/>
      <c:txPr>
        <a:bodyPr/>
        <a:lstStyle/>
        <a:p>
          <a:pPr lvl="0">
            <a:defRPr b="0">
              <a:solidFill>
                <a:srgbClr val="1A6A83"/>
              </a:solidFill>
              <a:latin typeface="Arial"/>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630952389602488"/>
          <c:y val="0.06909307875894992"/>
          <c:w val="0.9131519265726309"/>
          <c:h val="0.45238663484486874"/>
        </c:manualLayout>
      </c:layout>
      <c:barChart>
        <c:barDir val="col"/>
        <c:ser>
          <c:idx val="0"/>
          <c:order val="0"/>
          <c:spPr>
            <a:solidFill>
              <a:schemeClr val="accent1"/>
            </a:solidFill>
            <a:ln cmpd="sng">
              <a:solidFill>
                <a:srgbClr val="000000"/>
              </a:solidFill>
            </a:ln>
          </c:spPr>
          <c:dPt>
            <c:idx val="21"/>
          </c:dPt>
          <c:dPt>
            <c:idx val="22"/>
          </c:dPt>
          <c:dLbls>
            <c:dLbl>
              <c:idx val="22"/>
              <c:layout>
                <c:manualLayout>
                  <c:xMode val="edge"/>
                  <c:yMode val="edge"/>
                  <c:x val="0.9623747504746052"/>
                  <c:y val="0.8462492753995023"/>
                </c:manualLayout>
              </c:layout>
              <c:numFmt formatCode="General" sourceLinked="1"/>
              <c:txPr>
                <a:bodyPr/>
                <a:lstStyle/>
                <a:p>
                  <a:pPr lvl="0">
                    <a:defRPr sz="2000"/>
                  </a:pPr>
                </a:p>
              </c:txPr>
              <c:showLegendKey val="0"/>
              <c:showVal val="1"/>
              <c:showCatName val="0"/>
              <c:showSerName val="0"/>
              <c:showPercent val="0"/>
              <c:showBubbleSize val="0"/>
            </c:dLbl>
            <c:numFmt formatCode="General" sourceLinked="1"/>
            <c:txPr>
              <a:bodyPr/>
              <a:lstStyle/>
              <a:p>
                <a:pPr lvl="0">
                  <a:defRPr sz="2000"/>
                </a:pPr>
              </a:p>
            </c:txPr>
            <c:showLegendKey val="0"/>
            <c:showVal val="1"/>
            <c:showCatName val="0"/>
            <c:showSerName val="0"/>
            <c:showPercent val="0"/>
            <c:showBubbleSize val="0"/>
          </c:dLbls>
          <c:cat>
            <c:strRef>
              <c:f>plots!$O$214:$O$236</c:f>
            </c:strRef>
          </c:cat>
          <c:val>
            <c:numRef>
              <c:f>plots!$P$214:$P$236</c:f>
              <c:numCache/>
            </c:numRef>
          </c:val>
        </c:ser>
        <c:axId val="900806651"/>
        <c:axId val="715225698"/>
      </c:barChart>
      <c:catAx>
        <c:axId val="900806651"/>
        <c:scaling>
          <c:orientation val="minMax"/>
        </c:scaling>
        <c:delete val="0"/>
        <c:axPos val="b"/>
        <c:title>
          <c:tx>
            <c:rich>
              <a:bodyPr/>
              <a:lstStyle/>
              <a:p>
                <a:pPr lvl="0">
                  <a:defRPr b="0">
                    <a:solidFill>
                      <a:srgbClr val="005975"/>
                    </a:solidFill>
                    <a:latin typeface="Arial"/>
                  </a:defRPr>
                </a:pPr>
                <a:r>
                  <a:rPr b="0">
                    <a:solidFill>
                      <a:srgbClr val="005975"/>
                    </a:solidFill>
                    <a:latin typeface="Arial"/>
                  </a:rPr>
                  <a:t/>
                </a:r>
              </a:p>
            </c:rich>
          </c:tx>
          <c:overlay val="0"/>
        </c:title>
        <c:numFmt formatCode="General" sourceLinked="1"/>
        <c:majorTickMark val="none"/>
        <c:minorTickMark val="none"/>
        <c:spPr/>
        <c:txPr>
          <a:bodyPr rot="0"/>
          <a:lstStyle/>
          <a:p>
            <a:pPr lvl="0">
              <a:defRPr b="0" sz="2000">
                <a:solidFill>
                  <a:srgbClr val="000000"/>
                </a:solidFill>
                <a:latin typeface="Arial"/>
              </a:defRPr>
            </a:pPr>
          </a:p>
        </c:txPr>
        <c:crossAx val="715225698"/>
      </c:catAx>
      <c:valAx>
        <c:axId val="71522569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5975"/>
                    </a:solidFill>
                    <a:latin typeface="Arial"/>
                  </a:defRPr>
                </a:pPr>
                <a:r>
                  <a:rPr b="0">
                    <a:solidFill>
                      <a:srgbClr val="005975"/>
                    </a:solidFill>
                    <a:latin typeface="Arial"/>
                  </a:rPr>
                  <a:t/>
                </a:r>
              </a:p>
            </c:rich>
          </c:tx>
          <c:overlay val="0"/>
        </c:title>
        <c:numFmt formatCode="General" sourceLinked="1"/>
        <c:majorTickMark val="none"/>
        <c:minorTickMark val="none"/>
        <c:tickLblPos val="nextTo"/>
        <c:spPr>
          <a:ln/>
        </c:spPr>
        <c:txPr>
          <a:bodyPr/>
          <a:lstStyle/>
          <a:p>
            <a:pPr lvl="0">
              <a:defRPr b="0" sz="1600">
                <a:solidFill>
                  <a:srgbClr val="999999"/>
                </a:solidFill>
                <a:latin typeface="Arial"/>
              </a:defRPr>
            </a:pPr>
          </a:p>
        </c:txPr>
        <c:crossAx val="900806651"/>
      </c:valAx>
    </c:plotArea>
    <c:legend>
      <c:legendPos val="r"/>
      <c:overlay val="0"/>
      <c:txPr>
        <a:bodyPr/>
        <a:lstStyle/>
        <a:p>
          <a:pPr lvl="0">
            <a:defRPr b="0">
              <a:solidFill>
                <a:srgbClr val="1A6A83"/>
              </a:solidFill>
              <a:latin typeface="Arial"/>
            </a:defRPr>
          </a:pPr>
        </a:p>
      </c:txPr>
    </c:legend>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0078B8"/>
              </a:solidFill>
            </c:spPr>
          </c:dPt>
          <c:dPt>
            <c:idx val="1"/>
            <c:spPr>
              <a:solidFill>
                <a:srgbClr val="0091DE"/>
              </a:solidFill>
            </c:spPr>
          </c:dPt>
          <c:dPt>
            <c:idx val="2"/>
            <c:spPr>
              <a:solidFill>
                <a:srgbClr val="00A3FA"/>
              </a:solidFill>
            </c:spPr>
          </c:dPt>
          <c:dPt>
            <c:idx val="3"/>
            <c:spPr>
              <a:solidFill>
                <a:srgbClr val="42BDFF"/>
              </a:solidFill>
            </c:spPr>
          </c:dPt>
          <c:dPt>
            <c:idx val="4"/>
            <c:spPr>
              <a:solidFill>
                <a:srgbClr val="6ECCFF"/>
              </a:solidFill>
            </c:spPr>
          </c:dPt>
          <c:dPt>
            <c:idx val="5"/>
            <c:spPr>
              <a:solidFill>
                <a:srgbClr val="8FE1FF"/>
              </a:solidFill>
            </c:spPr>
          </c:dPt>
          <c:dPt>
            <c:idx val="6"/>
            <c:spPr>
              <a:solidFill>
                <a:srgbClr val="4DA1CD"/>
              </a:solidFill>
            </c:spPr>
          </c:dPt>
          <c:dPt>
            <c:idx val="7"/>
            <c:spPr>
              <a:solidFill>
                <a:srgbClr val="4DB2E8"/>
              </a:solidFill>
            </c:spPr>
          </c:dPt>
          <c:dPt>
            <c:idx val="8"/>
            <c:spPr>
              <a:solidFill>
                <a:srgbClr val="4DBFFC"/>
              </a:solidFill>
            </c:spPr>
          </c:dPt>
          <c:dPt>
            <c:idx val="9"/>
            <c:spPr>
              <a:solidFill>
                <a:srgbClr val="7BD1FF"/>
              </a:solidFill>
            </c:spPr>
          </c:dPt>
          <c:dPt>
            <c:idx val="10"/>
            <c:spPr>
              <a:solidFill>
                <a:srgbClr val="9ADBFF"/>
              </a:solidFill>
            </c:spPr>
          </c:dPt>
          <c:dPt>
            <c:idx val="11"/>
            <c:spPr>
              <a:solidFill>
                <a:srgbClr val="B1EAFF"/>
              </a:solidFill>
            </c:spPr>
          </c:dPt>
          <c:dLbls>
            <c:showLegendKey val="0"/>
            <c:showVal val="0"/>
            <c:showCatName val="0"/>
            <c:showSerName val="0"/>
            <c:showPercent val="0"/>
            <c:showBubbleSize val="0"/>
            <c:showLeaderLines val="1"/>
          </c:dLbls>
          <c:cat>
            <c:strRef>
              <c:f>plots!$E$461:$E$472</c:f>
            </c:strRef>
          </c:cat>
          <c:val>
            <c:numRef>
              <c:f>plots!$F$461:$F$472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6A83"/>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image" Target="../media/Chart3.png"/><Relationship Id="rId4" Type="http://schemas.openxmlformats.org/officeDocument/2006/relationships/chart" Target="../charts/chart3.xml"/><Relationship Id="rId9" Type="http://schemas.openxmlformats.org/officeDocument/2006/relationships/chart" Target="../charts/chart6.xml"/><Relationship Id="rId5" Type="http://schemas.openxmlformats.org/officeDocument/2006/relationships/image" Target="../media/Chart5.png"/><Relationship Id="rId6" Type="http://schemas.openxmlformats.org/officeDocument/2006/relationships/chart" Target="../charts/chart4.xml"/><Relationship Id="rId7" Type="http://schemas.openxmlformats.org/officeDocument/2006/relationships/image" Target="../media/Chart7.png"/><Relationship Id="rId8"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114300</xdr:colOff>
      <xdr:row>23</xdr:row>
      <xdr:rowOff>200025</xdr:rowOff>
    </xdr:from>
    <xdr:ext cx="7991475" cy="5010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228600</xdr:colOff>
      <xdr:row>57</xdr:row>
      <xdr:rowOff>0</xdr:rowOff>
    </xdr:from>
    <xdr:ext cx="7524750" cy="31623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76</xdr:row>
      <xdr:rowOff>190500</xdr:rowOff>
    </xdr:from>
    <xdr:ext cx="8401050" cy="5057775"/>
    <xdr:pic>
      <xdr:nvPicPr>
        <xdr:cNvPr id="1393780723"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257175</xdr:colOff>
      <xdr:row>106</xdr:row>
      <xdr:rowOff>76200</xdr:rowOff>
    </xdr:from>
    <xdr:ext cx="8401050" cy="54864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13</xdr:col>
      <xdr:colOff>133350</xdr:colOff>
      <xdr:row>26</xdr:row>
      <xdr:rowOff>123825</xdr:rowOff>
    </xdr:from>
    <xdr:ext cx="8124825" cy="5010150"/>
    <xdr:pic>
      <xdr:nvPicPr>
        <xdr:cNvPr id="1696851992"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323850</xdr:colOff>
      <xdr:row>129</xdr:row>
      <xdr:rowOff>57150</xdr:rowOff>
    </xdr:from>
    <xdr:ext cx="8401050" cy="34575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5</xdr:col>
      <xdr:colOff>209550</xdr:colOff>
      <xdr:row>440</xdr:row>
      <xdr:rowOff>152400</xdr:rowOff>
    </xdr:from>
    <xdr:ext cx="5715000" cy="3533775"/>
    <xdr:pic>
      <xdr:nvPicPr>
        <xdr:cNvPr id="362222070"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17</xdr:col>
      <xdr:colOff>142875</xdr:colOff>
      <xdr:row>211</xdr:row>
      <xdr:rowOff>47625</xdr:rowOff>
    </xdr:from>
    <xdr:ext cx="7477125" cy="30003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7</xdr:col>
      <xdr:colOff>38100</xdr:colOff>
      <xdr:row>460</xdr:row>
      <xdr:rowOff>19050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wsDr>
</file>

<file path=xl/tables/table1.xml><?xml version="1.0" encoding="utf-8"?>
<table xmlns="http://schemas.openxmlformats.org/spreadsheetml/2006/main" ref="A1:Q63" displayName="Table1" name="Table1" id="1">
  <autoFilter ref="$A$1:$Q$63"/>
  <tableColumns count="17">
    <tableColumn name="Code" id="1"/>
    <tableColumn name="Name" id="2"/>
    <tableColumn name="Description" id="3"/>
    <tableColumn name="Reference" id="4"/>
    <tableColumn name="Year" id="5"/>
    <tableColumn name="URL" id="6"/>
    <tableColumn name="License" id="7"/>
    <tableColumn name="Artifact type" id="8"/>
    <tableColumn name="Granularity" id="9"/>
    <tableColumn name="RE stage" id="10"/>
    <tableColumn name="Task" id="11"/>
    <tableColumn name="Domain" id="12"/>
    <tableColumn name="Size" id="13"/>
    <tableColumn name="Languages" id="14"/>
    <tableColumn name="Labels" id="15"/>
    <tableColumn name="Extends" id="16"/>
    <tableColumn name="Publications" id="17"/>
  </tableColumns>
  <tableStyleInfo name="datasets-style" showColumnStripes="0" showFirstColumn="1" showLastColumn="1" showRowStripes="1"/>
</table>
</file>

<file path=xl/tables/table2.xml><?xml version="1.0" encoding="utf-8"?>
<table xmlns="http://schemas.openxmlformats.org/spreadsheetml/2006/main" headerRowCount="0" ref="O1:O62" displayName="Table_1" name="Table_1" id="2">
  <tableColumns count="1">
    <tableColumn name="Column1" id="1"/>
  </tableColumns>
  <tableStyleInfo name="plots-style" showColumnStripes="0" showFirstColumn="1" showLastColumn="1" showRowStripes="1"/>
</table>
</file>

<file path=xl/tables/table3.xml><?xml version="1.0" encoding="utf-8"?>
<table xmlns="http://schemas.openxmlformats.org/spreadsheetml/2006/main" headerRowCount="0" ref="O65:Q126" displayName="Table_2" name="Table_2" id="3">
  <tableColumns count="3">
    <tableColumn name="Column1" id="1"/>
    <tableColumn name="Column2" id="2"/>
    <tableColumn name="Column3" id="3"/>
  </tableColumns>
  <tableStyleInfo name="plots-style 2" showColumnStripes="0" showFirstColumn="1" showLastColumn="1" showRowStripes="1"/>
</table>
</file>

<file path=xl/tables/table4.xml><?xml version="1.0" encoding="utf-8"?>
<table xmlns="http://schemas.openxmlformats.org/spreadsheetml/2006/main" headerRowCount="0" ref="H150:AC214" displayName="Table_3" name="Table_3" id="4">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plots-style 3" showColumnStripes="0" showFirstColumn="1" showLastColumn="1" showRowStripes="1"/>
</table>
</file>

<file path=xl/tables/table5.xml><?xml version="1.0" encoding="utf-8"?>
<table xmlns="http://schemas.openxmlformats.org/spreadsheetml/2006/main" headerRowCount="0" ref="C461:F522" displayName="Table_4" name="Table_4" id="5">
  <tableColumns count="4">
    <tableColumn name="Column1" id="1"/>
    <tableColumn name="Column2" id="2"/>
    <tableColumn name="Column3" id="3"/>
    <tableColumn name="Column4" id="4"/>
  </tableColumns>
  <tableStyleInfo name="plots-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5975"/>
      </a:dk1>
      <a:lt1>
        <a:srgbClr val="F5FCFF"/>
      </a:lt1>
      <a:dk2>
        <a:srgbClr val="005975"/>
      </a:dk2>
      <a:lt2>
        <a:srgbClr val="F5FCFF"/>
      </a:lt2>
      <a:accent1>
        <a:srgbClr val="0078B8"/>
      </a:accent1>
      <a:accent2>
        <a:srgbClr val="0091DE"/>
      </a:accent2>
      <a:accent3>
        <a:srgbClr val="00A3FA"/>
      </a:accent3>
      <a:accent4>
        <a:srgbClr val="42BDFF"/>
      </a:accent4>
      <a:accent5>
        <a:srgbClr val="6ECCFF"/>
      </a:accent5>
      <a:accent6>
        <a:srgbClr val="8FE1FF"/>
      </a:accent6>
      <a:hlink>
        <a:srgbClr val="0091DE"/>
      </a:hlink>
      <a:folHlink>
        <a:srgbClr val="0091DE"/>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github.com/Gechuyan/Cross-Level-Requirements-Tracing-Based-on-Large-Language-Model/blob/main/Cross-Level%20Requirements%20Tracing%20Based%20on%20Large%20Language%20Model/Data/Original_Data/cross_project/GANNT-WARC.csv" TargetMode="External"/><Relationship Id="rId84" Type="http://schemas.openxmlformats.org/officeDocument/2006/relationships/hyperlink" Target="https://gitfront.io/r/user-9946871/ii6eJFSh7oT4/DA-Sentence-Pairs/" TargetMode="External"/><Relationship Id="rId83" Type="http://schemas.openxmlformats.org/officeDocument/2006/relationships/hyperlink" Target="https://github.com/Jl-wei/mini-bar" TargetMode="External"/><Relationship Id="rId42" Type="http://schemas.openxmlformats.org/officeDocument/2006/relationships/hyperlink" Target="https://github.com/nekdil566/Experimental-work-and-datasets/blob/main/R2_ChatGPt_datasett.csv" TargetMode="External"/><Relationship Id="rId86" Type="http://schemas.openxmlformats.org/officeDocument/2006/relationships/hyperlink" Target="https://sites.google.com/view/requirementsclassificationwith/" TargetMode="External"/><Relationship Id="rId41" Type="http://schemas.openxmlformats.org/officeDocument/2006/relationships/hyperlink" Target="https://doi.org/10.1016/j.eswa.2024.125524" TargetMode="External"/><Relationship Id="rId85" Type="http://schemas.openxmlformats.org/officeDocument/2006/relationships/hyperlink" Target="https://doi.org/10.13140/RG.2.2.35146.58563" TargetMode="External"/><Relationship Id="rId44" Type="http://schemas.openxmlformats.org/officeDocument/2006/relationships/hyperlink" Target="https://github.com/hanhan13579/LERE" TargetMode="External"/><Relationship Id="rId88" Type="http://schemas.openxmlformats.org/officeDocument/2006/relationships/hyperlink" Target="https://github.com/AnonymousBreeze/LTL-Learner/blob/master/Dataset/Dataset_2.xlsx" TargetMode="External"/><Relationship Id="rId43" Type="http://schemas.openxmlformats.org/officeDocument/2006/relationships/hyperlink" Target="https://github.com/IUS-GUI-Prototyping/IUS-GUI" TargetMode="External"/><Relationship Id="rId87" Type="http://schemas.openxmlformats.org/officeDocument/2006/relationships/hyperlink" Target="https://github.com/AnonymousBreeze/LTL-Learner/blob/master/Dataset/Dataset_1.xlsx" TargetMode="External"/><Relationship Id="rId46" Type="http://schemas.openxmlformats.org/officeDocument/2006/relationships/hyperlink" Target="https://github.com/adobe-research/LexDeMod" TargetMode="External"/><Relationship Id="rId45" Type="http://schemas.openxmlformats.org/officeDocument/2006/relationships/hyperlink" Target="https://doi.org/10.18653/v1/2022.emnlp-main.795" TargetMode="External"/><Relationship Id="rId89" Type="http://schemas.openxmlformats.org/officeDocument/2006/relationships/drawing" Target="../drawings/drawing1.xml"/><Relationship Id="rId80" Type="http://schemas.openxmlformats.org/officeDocument/2006/relationships/hyperlink" Target="https://doi.org/10.1007/s10506-019-09243-2" TargetMode="External"/><Relationship Id="rId82" Type="http://schemas.openxmlformats.org/officeDocument/2006/relationships/hyperlink" Target="https://github.com/Gechuyan/Cross-Level-Requirements-Tracing-Based-on-Large-Language-Model/blob/main/Cross-Level%20Requirements%20Tracing%20Based%20on%20Large%20Language%20Model/Data/Original_Data/WARC.csv" TargetMode="External"/><Relationship Id="rId81" Type="http://schemas.openxmlformats.org/officeDocument/2006/relationships/hyperlink" Target="http://claudette.eui.eu/ToS.zip" TargetMode="External"/><Relationship Id="rId1" Type="http://schemas.openxmlformats.org/officeDocument/2006/relationships/hyperlink" Target="https://doi.org/10.5281/zenodo.10892319" TargetMode="External"/><Relationship Id="rId2" Type="http://schemas.openxmlformats.org/officeDocument/2006/relationships/hyperlink" Target="https://zenodo.org/records/10892319" TargetMode="External"/><Relationship Id="rId3" Type="http://schemas.openxmlformats.org/officeDocument/2006/relationships/hyperlink" Target="https://doi.org/10.1145/3696630.3728560" TargetMode="External"/><Relationship Id="rId4" Type="http://schemas.openxmlformats.org/officeDocument/2006/relationships/hyperlink" Target="https://anonymous.4open.science/r/AeroReqEval-19BD" TargetMode="External"/><Relationship Id="rId9" Type="http://schemas.openxmlformats.org/officeDocument/2006/relationships/hyperlink" Target="https://doi.org/10.1007/s10664-024-10491-3" TargetMode="External"/><Relationship Id="rId48" Type="http://schemas.openxmlformats.org/officeDocument/2006/relationships/hyperlink" Target="https://zenodo.org/records/8089810" TargetMode="External"/><Relationship Id="rId47" Type="http://schemas.openxmlformats.org/officeDocument/2006/relationships/hyperlink" Target="https://doi.org/10.5281/zenodo.8089810" TargetMode="External"/><Relationship Id="rId49" Type="http://schemas.openxmlformats.org/officeDocument/2006/relationships/hyperlink" Target="https://huggingface.co/datasets/OrangeeSofty/Metro_Code_Chapters_18_to_22_Data/tree/main/out_bio_txt" TargetMode="External"/><Relationship Id="rId5" Type="http://schemas.openxmlformats.org/officeDocument/2006/relationships/hyperlink" Target="https://doi.org/10.1016/j.dib.2025.111938" TargetMode="External"/><Relationship Id="rId6" Type="http://schemas.openxmlformats.org/officeDocument/2006/relationships/hyperlink" Target="https://huggingface.co/datasets/boudribila/AutoFactory" TargetMode="External"/><Relationship Id="rId7" Type="http://schemas.openxmlformats.org/officeDocument/2006/relationships/hyperlink" Target="https://doi.org/10.5281/zenodo.5528481" TargetMode="External"/><Relationship Id="rId8" Type="http://schemas.openxmlformats.org/officeDocument/2006/relationships/hyperlink" Target="https://zenodo.org/records/5528481" TargetMode="External"/><Relationship Id="rId73" Type="http://schemas.openxmlformats.org/officeDocument/2006/relationships/hyperlink" Target="https://doi.org/10.1016/j.dib.2018.12.029" TargetMode="External"/><Relationship Id="rId72" Type="http://schemas.openxmlformats.org/officeDocument/2006/relationships/hyperlink" Target="https://doi.org/10.1016/j.dib.2018.12.029" TargetMode="External"/><Relationship Id="rId31" Type="http://schemas.openxmlformats.org/officeDocument/2006/relationships/hyperlink" Target="https://doi.org/10.5281/zenodo.15604749" TargetMode="External"/><Relationship Id="rId75" Type="http://schemas.openxmlformats.org/officeDocument/2006/relationships/hyperlink" Target="https://doi.org/10.5281/zenodo.11000349" TargetMode="External"/><Relationship Id="rId30" Type="http://schemas.openxmlformats.org/officeDocument/2006/relationships/hyperlink" Target="https://github.com/Gechuyan/Cross-Level-Requirements-Tracing-Based-on-Large-Language-Model/blob/main/Cross-Level%20Requirements%20Tracing%20Based%20on%20Large%20Language%20Model/Data/Original_Data/cross_project/Cross_dataset.csv" TargetMode="External"/><Relationship Id="rId74" Type="http://schemas.openxmlformats.org/officeDocument/2006/relationships/hyperlink" Target="https://gitfront.io/r/user-9946871/ii6eJFSh7oT4/DA-Sentence-Pairs/" TargetMode="External"/><Relationship Id="rId33" Type="http://schemas.openxmlformats.org/officeDocument/2006/relationships/hyperlink" Target="https://doi.org/10.5281/zenodo.15604749" TargetMode="External"/><Relationship Id="rId77" Type="http://schemas.openxmlformats.org/officeDocument/2006/relationships/hyperlink" Target="https://doi.org/10.5281/zenodo.11000349" TargetMode="External"/><Relationship Id="rId32" Type="http://schemas.openxmlformats.org/officeDocument/2006/relationships/hyperlink" Target="https://zenodo.org/records/15604749" TargetMode="External"/><Relationship Id="rId76" Type="http://schemas.openxmlformats.org/officeDocument/2006/relationships/hyperlink" Target="https://zenodo.org/records/11000349" TargetMode="External"/><Relationship Id="rId35" Type="http://schemas.openxmlformats.org/officeDocument/2006/relationships/hyperlink" Target="https://doi.org/10.5281/zenodo.15604749" TargetMode="External"/><Relationship Id="rId79" Type="http://schemas.openxmlformats.org/officeDocument/2006/relationships/hyperlink" Target="https://gitfront.io/r/user-9946871/ii6eJFSh7oT4/DA-Sentence-Pairs/" TargetMode="External"/><Relationship Id="rId34" Type="http://schemas.openxmlformats.org/officeDocument/2006/relationships/hyperlink" Target="https://zenodo.org/records/15604749" TargetMode="External"/><Relationship Id="rId78" Type="http://schemas.openxmlformats.org/officeDocument/2006/relationships/hyperlink" Target="https://zenodo.org/records/11000349" TargetMode="External"/><Relationship Id="rId71" Type="http://schemas.openxmlformats.org/officeDocument/2006/relationships/hyperlink" Target="https://github.com/frieden84/nlp4re-reqeval" TargetMode="External"/><Relationship Id="rId70" Type="http://schemas.openxmlformats.org/officeDocument/2006/relationships/hyperlink" Target="https://zenodo.org/records/3309669" TargetMode="External"/><Relationship Id="rId37" Type="http://schemas.openxmlformats.org/officeDocument/2006/relationships/hyperlink" Target="https://zenodo.org/records/13373276" TargetMode="External"/><Relationship Id="rId36" Type="http://schemas.openxmlformats.org/officeDocument/2006/relationships/hyperlink" Target="https://zenodo.org/records/15604749" TargetMode="External"/><Relationship Id="rId39" Type="http://schemas.openxmlformats.org/officeDocument/2006/relationships/hyperlink" Target="https://github.com/Gechuyan/Cross-Level-Requirements-Tracing-Based-on-Large-Language-Model/blob/main/Cross-Level%20Requirements%20Tracing%20Based%20on%20Large%20Language%20Model/Data/Original_Data/InfusionPump.csv" TargetMode="External"/><Relationship Id="rId38" Type="http://schemas.openxmlformats.org/officeDocument/2006/relationships/hyperlink" Target="https://github.com/VibhaHippargi/CaseStudyonChatGPTforRE/tree/main" TargetMode="External"/><Relationship Id="rId62" Type="http://schemas.openxmlformats.org/officeDocument/2006/relationships/hyperlink" Target="https://huggingface.co/datasets/patriziobellan/PET" TargetMode="External"/><Relationship Id="rId61" Type="http://schemas.openxmlformats.org/officeDocument/2006/relationships/hyperlink" Target="https://ceur-ws.org/Vol-3287/paper18.pdf" TargetMode="External"/><Relationship Id="rId20" Type="http://schemas.openxmlformats.org/officeDocument/2006/relationships/hyperlink" Target="https://github.com/KE-UniLiv/CQ-benchmark/" TargetMode="External"/><Relationship Id="rId64" Type="http://schemas.openxmlformats.org/officeDocument/2006/relationships/hyperlink" Target="https://github.com/AleksandarMitrevski/se-requirements-classification" TargetMode="External"/><Relationship Id="rId63" Type="http://schemas.openxmlformats.org/officeDocument/2006/relationships/hyperlink" Target="https://openscience.us/repo/requirements/requirements-other/nfr.html" TargetMode="External"/><Relationship Id="rId22" Type="http://schemas.openxmlformats.org/officeDocument/2006/relationships/hyperlink" Target="https://data.mendeley.com/datasets/7zbk8zsd8y/1" TargetMode="External"/><Relationship Id="rId66" Type="http://schemas.openxmlformats.org/officeDocument/2006/relationships/hyperlink" Target="https://zenodo.org/records/7118517" TargetMode="External"/><Relationship Id="rId21" Type="http://schemas.openxmlformats.org/officeDocument/2006/relationships/hyperlink" Target="https://github.com/Gechuyan/Cross-Level-Requirements-Tracing-Based-on-Large-Language-Model/blob/main/Cross-Level%20Requirements%20Tracing%20Based%20on%20Large%20Language%20Model/Data/Original_Data/cross_project/Cross_dataset.csv" TargetMode="External"/><Relationship Id="rId65" Type="http://schemas.openxmlformats.org/officeDocument/2006/relationships/hyperlink" Target="https://github.com/AleksandarMitrevski/se-requirements-classification" TargetMode="External"/><Relationship Id="rId24" Type="http://schemas.openxmlformats.org/officeDocument/2006/relationships/hyperlink" Target="https://dronology.info/datasets/" TargetMode="External"/><Relationship Id="rId68" Type="http://schemas.openxmlformats.org/officeDocument/2006/relationships/hyperlink" Target="https://doi.org/10.5281/zenodo.11264429" TargetMode="External"/><Relationship Id="rId23" Type="http://schemas.openxmlformats.org/officeDocument/2006/relationships/hyperlink" Target="https://data.mendeley.com/datasets/23xtbvk6yp/2" TargetMode="External"/><Relationship Id="rId67" Type="http://schemas.openxmlformats.org/officeDocument/2006/relationships/hyperlink" Target="https://gitfront.io/r/user-9946871/ii6eJFSh7oT4/DA-Sentence-Pairs/" TargetMode="External"/><Relationship Id="rId60" Type="http://schemas.openxmlformats.org/officeDocument/2006/relationships/hyperlink" Target="https://github.com/zhangjianzhang/PCTD/" TargetMode="External"/><Relationship Id="rId26" Type="http://schemas.openxmlformats.org/officeDocument/2006/relationships/hyperlink" Target="https://static-content.springer.com/esm/art%3A10.1007%2Fs10515-024-00452-x/MediaObjects/10515_2024_452_MOESM1_ESM.csv" TargetMode="External"/><Relationship Id="rId25" Type="http://schemas.openxmlformats.org/officeDocument/2006/relationships/hyperlink" Target="https://doi.org/10.1007/s10515-024-00452-x" TargetMode="External"/><Relationship Id="rId69" Type="http://schemas.openxmlformats.org/officeDocument/2006/relationships/hyperlink" Target="https://zenodo.org/records/11264429" TargetMode="External"/><Relationship Id="rId28" Type="http://schemas.openxmlformats.org/officeDocument/2006/relationships/hyperlink" Target="https://zenodo.org/records/8089810" TargetMode="External"/><Relationship Id="rId27" Type="http://schemas.openxmlformats.org/officeDocument/2006/relationships/hyperlink" Target="https://doi.org/10.5281/zenodo.8089810" TargetMode="External"/><Relationship Id="rId29" Type="http://schemas.openxmlformats.org/officeDocument/2006/relationships/hyperlink" Target="https://github.com/Gechuyan/Cross-Level-Requirements-Tracing-Based-on-Large-Language-Model/blob/main/Cross-Level%20Requirements%20Tracing%20Based%20on%20Large%20Language%20Model/Data/Original_Data/GANNTDataset.csv" TargetMode="External"/><Relationship Id="rId51" Type="http://schemas.openxmlformats.org/officeDocument/2006/relationships/hyperlink" Target="https://huggingface.co/datasets/OrangeeSofty/Metro_Code_Chapters_18_to_22_Data/tree/main/out_bio_txt" TargetMode="External"/><Relationship Id="rId50" Type="http://schemas.openxmlformats.org/officeDocument/2006/relationships/hyperlink" Target="https://huggingface.co/datasets/OrangeeSofty/Metro_Code_Chapters_18_to_22_Data/tree/main/out_bio_txt" TargetMode="External"/><Relationship Id="rId53" Type="http://schemas.openxmlformats.org/officeDocument/2006/relationships/hyperlink" Target="https://github.com/Gechuyan/Cross-Level-Requirements-Tracing-Based-on-Large-Language-Model/blob/main/Cross-Level%20Requirements%20Tracing%20Based%20on%20Large%20Language%20Model/Data/Original_Data/ModisDataset.csv" TargetMode="External"/><Relationship Id="rId52" Type="http://schemas.openxmlformats.org/officeDocument/2006/relationships/hyperlink" Target="https://huggingface.co/datasets/OrangeeSofty/Metro_Code_Chapters_18_to_22_Data/tree/main/out_bio_txt" TargetMode="External"/><Relationship Id="rId11" Type="http://schemas.openxmlformats.org/officeDocument/2006/relationships/hyperlink" Target="https://dx.doi.org/10.21227/r9j6-nd62" TargetMode="External"/><Relationship Id="rId55" Type="http://schemas.openxmlformats.org/officeDocument/2006/relationships/hyperlink" Target="https://doi-org.recursos.biblioteca.upc.edu/10.1145/3691620.3695293" TargetMode="External"/><Relationship Id="rId10" Type="http://schemas.openxmlformats.org/officeDocument/2006/relationships/hyperlink" Target="https://figshare.com/s/77338e558ffb6adf6f55" TargetMode="External"/><Relationship Id="rId54" Type="http://schemas.openxmlformats.org/officeDocument/2006/relationships/hyperlink" Target="https://github.com/nlp4se/t-frex" TargetMode="External"/><Relationship Id="rId13" Type="http://schemas.openxmlformats.org/officeDocument/2006/relationships/hyperlink" Target="https://zenodo.org/records/12740518" TargetMode="External"/><Relationship Id="rId57" Type="http://schemas.openxmlformats.org/officeDocument/2006/relationships/hyperlink" Target="https://zenodo.org/records/10959496" TargetMode="External"/><Relationship Id="rId12" Type="http://schemas.openxmlformats.org/officeDocument/2006/relationships/hyperlink" Target="https://ieee-dataport.org/documents/dataset-text-requirements-models" TargetMode="External"/><Relationship Id="rId56" Type="http://schemas.openxmlformats.org/officeDocument/2006/relationships/hyperlink" Target="https://ieeexplore.ieee.org/document/10764829/" TargetMode="External"/><Relationship Id="rId91" Type="http://schemas.openxmlformats.org/officeDocument/2006/relationships/table" Target="../tables/table1.xml"/><Relationship Id="rId15" Type="http://schemas.openxmlformats.org/officeDocument/2006/relationships/hyperlink" Target="https://github.com/Gechuyan/Cross-Level-Requirements-Tracing-Based-on-Large-Language-Model/blob/main/Cross-Level%20Requirements%20Tracing%20Based%20on%20Large%20Language%20Model/Data/Original_Data/CCHIT.csv" TargetMode="External"/><Relationship Id="rId59" Type="http://schemas.openxmlformats.org/officeDocument/2006/relationships/hyperlink" Target="https://arxiv.org/abs/2212.09289" TargetMode="External"/><Relationship Id="rId14" Type="http://schemas.openxmlformats.org/officeDocument/2006/relationships/hyperlink" Target="https://gitfront.io/r/user-9946871/ii6eJFSh7oT4/DA-Sentence-Pairs/" TargetMode="External"/><Relationship Id="rId58" Type="http://schemas.openxmlformats.org/officeDocument/2006/relationships/hyperlink" Target="https://gitfront.io/r/user-9946871/ii6eJFSh7oT4/DA-Sentence-Pairs/" TargetMode="External"/><Relationship Id="rId17" Type="http://schemas.openxmlformats.org/officeDocument/2006/relationships/hyperlink" Target="https://github.com/Gechuyan/Cross-Level-Requirements-Tracing-Based-on-Large-Language-Model/blob/main/Cross-Level%20Requirements%20Tracing%20Based%20on%20Large%20Language%20Model/Data/Original_Data/cross_project/CM1-Modis.csv" TargetMode="External"/><Relationship Id="rId16" Type="http://schemas.openxmlformats.org/officeDocument/2006/relationships/hyperlink" Target="https://github.com/Gechuyan/Cross-Level-Requirements-Tracing-Based-on-Large-Language-Model/blob/main/Cross-Level%20Requirements%20Tracing%20Based%20on%20Large%20Language%20Model/Data/Original_Data/CM1Dataset.csv" TargetMode="External"/><Relationship Id="rId19" Type="http://schemas.openxmlformats.org/officeDocument/2006/relationships/hyperlink" Target="https://zenodo.org/records/8089810" TargetMode="External"/><Relationship Id="rId18" Type="http://schemas.openxmlformats.org/officeDocument/2006/relationships/hyperlink" Target="https://doi.org/10.5281/zenodo.808981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9" Type="http://schemas.openxmlformats.org/officeDocument/2006/relationships/table" Target="../tables/table5.xml"/><Relationship Id="rId6" Type="http://schemas.openxmlformats.org/officeDocument/2006/relationships/table" Target="../tables/table2.xml"/><Relationship Id="rId7" Type="http://schemas.openxmlformats.org/officeDocument/2006/relationships/table" Target="../tables/table3.xml"/><Relationship Id="rId8"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1" max="1" width="8.33"/>
    <col customWidth="1" min="2" max="2" width="18.44"/>
    <col customWidth="1" min="3" max="3" width="33.44"/>
    <col customWidth="1" hidden="1" min="4" max="4" width="33.44"/>
    <col customWidth="1" min="5" max="5" width="7.89"/>
    <col customWidth="1" min="6" max="7" width="33.44"/>
    <col customWidth="1" min="8" max="8" width="13.22"/>
    <col customWidth="1" min="9" max="9" width="12.56"/>
    <col customWidth="1" min="10" max="10" width="17.33"/>
    <col customWidth="1" min="12" max="12" width="22.22"/>
    <col customWidth="1" min="13" max="13" width="7.78"/>
    <col customWidth="1" min="14" max="14" width="12.22"/>
    <col customWidth="1" min="15" max="15" width="33.44"/>
    <col customWidth="1" min="16" max="16" width="28.44"/>
    <col customWidth="1" min="17" max="17" width="18.0"/>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c r="S1" s="2"/>
      <c r="T1" s="2"/>
      <c r="U1" s="2"/>
      <c r="V1" s="2"/>
      <c r="W1" s="2"/>
      <c r="X1" s="2"/>
      <c r="Y1" s="2"/>
      <c r="Z1" s="2"/>
      <c r="AA1" s="2"/>
      <c r="AB1" s="2"/>
      <c r="AC1" s="2"/>
      <c r="AD1" s="2"/>
      <c r="AE1" s="2"/>
    </row>
    <row r="2" ht="22.5" customHeight="1">
      <c r="A2" s="3" t="s">
        <v>17</v>
      </c>
      <c r="B2" s="3" t="s">
        <v>18</v>
      </c>
      <c r="C2" s="3" t="s">
        <v>19</v>
      </c>
      <c r="D2" s="4" t="s">
        <v>20</v>
      </c>
      <c r="E2" s="5">
        <v>2024.0</v>
      </c>
      <c r="F2" s="6" t="s">
        <v>21</v>
      </c>
      <c r="G2" s="3" t="s">
        <v>22</v>
      </c>
      <c r="H2" s="3" t="s">
        <v>23</v>
      </c>
      <c r="I2" s="3" t="s">
        <v>24</v>
      </c>
      <c r="J2" s="3" t="s">
        <v>25</v>
      </c>
      <c r="K2" s="3" t="s">
        <v>26</v>
      </c>
      <c r="L2" s="3" t="s">
        <v>27</v>
      </c>
      <c r="M2" s="3">
        <v>452257.0</v>
      </c>
      <c r="N2" s="3" t="s">
        <v>28</v>
      </c>
      <c r="O2" s="3" t="s">
        <v>29</v>
      </c>
      <c r="P2" s="3" t="s">
        <v>30</v>
      </c>
      <c r="Q2" s="3" t="s">
        <v>31</v>
      </c>
      <c r="R2" s="7"/>
      <c r="S2" s="7"/>
      <c r="T2" s="7"/>
      <c r="U2" s="7"/>
      <c r="V2" s="7"/>
      <c r="W2" s="7"/>
      <c r="X2" s="7"/>
      <c r="Y2" s="7"/>
      <c r="Z2" s="7"/>
      <c r="AA2" s="7"/>
      <c r="AB2" s="7"/>
      <c r="AC2" s="7"/>
      <c r="AD2" s="7"/>
      <c r="AE2" s="7"/>
    </row>
    <row r="3" ht="22.5" customHeight="1">
      <c r="A3" s="3" t="s">
        <v>32</v>
      </c>
      <c r="B3" s="3" t="s">
        <v>33</v>
      </c>
      <c r="C3" s="3" t="s">
        <v>34</v>
      </c>
      <c r="D3" s="4" t="s">
        <v>35</v>
      </c>
      <c r="E3" s="5">
        <v>2025.0</v>
      </c>
      <c r="F3" s="6" t="s">
        <v>36</v>
      </c>
      <c r="G3" s="3" t="s">
        <v>37</v>
      </c>
      <c r="H3" s="3" t="s">
        <v>38</v>
      </c>
      <c r="I3" s="3" t="s">
        <v>39</v>
      </c>
      <c r="J3" s="3" t="s">
        <v>40</v>
      </c>
      <c r="K3" s="3" t="s">
        <v>41</v>
      </c>
      <c r="L3" s="3" t="s">
        <v>42</v>
      </c>
      <c r="M3" s="3">
        <v>6696.0</v>
      </c>
      <c r="N3" s="3" t="s">
        <v>28</v>
      </c>
      <c r="O3" s="3" t="s">
        <v>30</v>
      </c>
      <c r="P3" s="3" t="s">
        <v>30</v>
      </c>
      <c r="Q3" s="3" t="s">
        <v>43</v>
      </c>
      <c r="R3" s="7"/>
      <c r="S3" s="7"/>
      <c r="T3" s="7"/>
      <c r="U3" s="7"/>
      <c r="V3" s="7"/>
      <c r="W3" s="7"/>
      <c r="X3" s="7"/>
      <c r="Y3" s="7"/>
      <c r="Z3" s="7"/>
      <c r="AA3" s="7"/>
      <c r="AB3" s="7"/>
      <c r="AC3" s="7"/>
      <c r="AD3" s="7"/>
      <c r="AE3" s="7"/>
    </row>
    <row r="4" ht="22.5" customHeight="1">
      <c r="A4" s="3" t="s">
        <v>44</v>
      </c>
      <c r="B4" s="3" t="s">
        <v>45</v>
      </c>
      <c r="C4" s="3" t="s">
        <v>46</v>
      </c>
      <c r="D4" s="4" t="s">
        <v>47</v>
      </c>
      <c r="E4" s="5">
        <v>2025.0</v>
      </c>
      <c r="F4" s="4" t="s">
        <v>48</v>
      </c>
      <c r="G4" s="3" t="s">
        <v>37</v>
      </c>
      <c r="H4" s="3" t="s">
        <v>49</v>
      </c>
      <c r="I4" s="3" t="s">
        <v>50</v>
      </c>
      <c r="J4" s="3" t="s">
        <v>51</v>
      </c>
      <c r="K4" s="3" t="s">
        <v>26</v>
      </c>
      <c r="L4" s="3" t="s">
        <v>52</v>
      </c>
      <c r="M4" s="3">
        <v>279830.0</v>
      </c>
      <c r="N4" s="3" t="s">
        <v>28</v>
      </c>
      <c r="O4" s="3" t="s">
        <v>53</v>
      </c>
      <c r="P4" s="3" t="s">
        <v>30</v>
      </c>
      <c r="Q4" s="3" t="s">
        <v>54</v>
      </c>
      <c r="R4" s="7"/>
      <c r="S4" s="7"/>
      <c r="T4" s="7"/>
      <c r="U4" s="7"/>
      <c r="V4" s="7"/>
      <c r="W4" s="7"/>
      <c r="X4" s="7"/>
      <c r="Y4" s="7"/>
      <c r="Z4" s="7"/>
      <c r="AA4" s="7"/>
      <c r="AB4" s="7"/>
      <c r="AC4" s="7"/>
      <c r="AD4" s="7"/>
      <c r="AE4" s="7"/>
    </row>
    <row r="5" ht="22.5" customHeight="1">
      <c r="A5" s="3" t="s">
        <v>55</v>
      </c>
      <c r="B5" s="3" t="s">
        <v>56</v>
      </c>
      <c r="C5" s="3" t="s">
        <v>57</v>
      </c>
      <c r="D5" s="4" t="s">
        <v>58</v>
      </c>
      <c r="E5" s="3">
        <v>2021.0</v>
      </c>
      <c r="F5" s="6" t="s">
        <v>59</v>
      </c>
      <c r="G5" s="3" t="s">
        <v>60</v>
      </c>
      <c r="H5" s="3" t="s">
        <v>61</v>
      </c>
      <c r="I5" s="3" t="s">
        <v>62</v>
      </c>
      <c r="J5" s="3" t="s">
        <v>25</v>
      </c>
      <c r="K5" s="3" t="s">
        <v>26</v>
      </c>
      <c r="L5" s="3" t="s">
        <v>63</v>
      </c>
      <c r="M5" s="3">
        <v>11482.0</v>
      </c>
      <c r="N5" s="3" t="s">
        <v>28</v>
      </c>
      <c r="O5" s="3" t="s">
        <v>30</v>
      </c>
      <c r="P5" s="3" t="s">
        <v>30</v>
      </c>
      <c r="Q5" s="3" t="s">
        <v>64</v>
      </c>
      <c r="R5" s="7"/>
      <c r="S5" s="7"/>
      <c r="T5" s="7"/>
      <c r="U5" s="7"/>
      <c r="V5" s="7"/>
      <c r="W5" s="7"/>
      <c r="X5" s="7"/>
      <c r="Y5" s="7"/>
      <c r="Z5" s="7"/>
      <c r="AA5" s="7"/>
      <c r="AB5" s="7"/>
      <c r="AC5" s="7"/>
      <c r="AD5" s="7"/>
      <c r="AE5" s="7"/>
    </row>
    <row r="6" ht="22.5" customHeight="1">
      <c r="A6" s="3" t="s">
        <v>65</v>
      </c>
      <c r="B6" s="3" t="s">
        <v>66</v>
      </c>
      <c r="C6" s="3" t="s">
        <v>67</v>
      </c>
      <c r="D6" s="4" t="s">
        <v>68</v>
      </c>
      <c r="E6" s="3">
        <v>2023.0</v>
      </c>
      <c r="F6" s="6" t="s">
        <v>69</v>
      </c>
      <c r="G6" s="3" t="s">
        <v>22</v>
      </c>
      <c r="H6" s="3" t="s">
        <v>70</v>
      </c>
      <c r="I6" s="3" t="s">
        <v>62</v>
      </c>
      <c r="J6" s="3" t="s">
        <v>25</v>
      </c>
      <c r="K6" s="3" t="s">
        <v>26</v>
      </c>
      <c r="L6" s="3" t="s">
        <v>71</v>
      </c>
      <c r="M6" s="3">
        <v>31185.0</v>
      </c>
      <c r="N6" s="3" t="s">
        <v>28</v>
      </c>
      <c r="O6" s="3" t="s">
        <v>72</v>
      </c>
      <c r="P6" s="3" t="s">
        <v>30</v>
      </c>
      <c r="Q6" s="3" t="s">
        <v>73</v>
      </c>
      <c r="R6" s="7"/>
      <c r="S6" s="7"/>
      <c r="T6" s="7"/>
      <c r="U6" s="7"/>
      <c r="V6" s="7"/>
      <c r="W6" s="7"/>
      <c r="X6" s="7"/>
      <c r="Y6" s="7"/>
      <c r="Z6" s="7"/>
      <c r="AA6" s="7"/>
      <c r="AB6" s="7"/>
      <c r="AC6" s="7"/>
      <c r="AD6" s="7"/>
      <c r="AE6" s="7"/>
    </row>
    <row r="7" ht="22.5" customHeight="1">
      <c r="A7" s="3" t="s">
        <v>74</v>
      </c>
      <c r="B7" s="3" t="s">
        <v>75</v>
      </c>
      <c r="C7" s="3" t="s">
        <v>76</v>
      </c>
      <c r="D7" s="4" t="s">
        <v>77</v>
      </c>
      <c r="E7" s="5">
        <v>2023.0</v>
      </c>
      <c r="F7" s="4" t="s">
        <v>78</v>
      </c>
      <c r="G7" s="3" t="s">
        <v>37</v>
      </c>
      <c r="H7" s="3" t="s">
        <v>49</v>
      </c>
      <c r="I7" s="3" t="s">
        <v>24</v>
      </c>
      <c r="J7" s="3" t="s">
        <v>40</v>
      </c>
      <c r="K7" s="3" t="s">
        <v>79</v>
      </c>
      <c r="L7" s="3" t="s">
        <v>80</v>
      </c>
      <c r="M7" s="3">
        <v>120.0</v>
      </c>
      <c r="N7" s="3" t="s">
        <v>28</v>
      </c>
      <c r="O7" s="3" t="s">
        <v>30</v>
      </c>
      <c r="P7" s="3" t="s">
        <v>81</v>
      </c>
      <c r="Q7" s="3" t="s">
        <v>82</v>
      </c>
      <c r="R7" s="7"/>
      <c r="S7" s="7"/>
      <c r="T7" s="7"/>
      <c r="U7" s="7"/>
      <c r="V7" s="7"/>
      <c r="W7" s="7"/>
      <c r="X7" s="7"/>
      <c r="Y7" s="7"/>
      <c r="Z7" s="7"/>
      <c r="AA7" s="7"/>
      <c r="AB7" s="7"/>
      <c r="AC7" s="7"/>
      <c r="AD7" s="7"/>
      <c r="AE7" s="7"/>
    </row>
    <row r="8" ht="22.5" customHeight="1">
      <c r="A8" s="3" t="s">
        <v>83</v>
      </c>
      <c r="B8" s="3" t="s">
        <v>84</v>
      </c>
      <c r="C8" s="3" t="s">
        <v>85</v>
      </c>
      <c r="D8" s="3" t="s">
        <v>86</v>
      </c>
      <c r="E8" s="3">
        <v>2024.0</v>
      </c>
      <c r="F8" s="6" t="s">
        <v>87</v>
      </c>
      <c r="G8" s="3" t="s">
        <v>22</v>
      </c>
      <c r="H8" s="3" t="s">
        <v>88</v>
      </c>
      <c r="I8" s="3" t="s">
        <v>24</v>
      </c>
      <c r="J8" s="3" t="s">
        <v>51</v>
      </c>
      <c r="K8" s="3" t="s">
        <v>89</v>
      </c>
      <c r="L8" s="3" t="s">
        <v>90</v>
      </c>
      <c r="M8" s="3">
        <v>487.0</v>
      </c>
      <c r="N8" s="3" t="s">
        <v>28</v>
      </c>
      <c r="O8" s="3" t="s">
        <v>30</v>
      </c>
      <c r="P8" s="3" t="s">
        <v>30</v>
      </c>
      <c r="Q8" s="3" t="s">
        <v>91</v>
      </c>
      <c r="R8" s="7"/>
      <c r="S8" s="7"/>
      <c r="T8" s="7"/>
      <c r="U8" s="7"/>
      <c r="V8" s="7"/>
      <c r="W8" s="7"/>
      <c r="X8" s="7"/>
      <c r="Y8" s="7"/>
      <c r="Z8" s="7"/>
      <c r="AA8" s="7"/>
      <c r="AB8" s="7"/>
      <c r="AC8" s="7"/>
      <c r="AD8" s="7"/>
      <c r="AE8" s="7"/>
    </row>
    <row r="9" ht="22.5" customHeight="1">
      <c r="A9" s="3" t="s">
        <v>92</v>
      </c>
      <c r="B9" s="3" t="s">
        <v>93</v>
      </c>
      <c r="C9" s="3" t="s">
        <v>94</v>
      </c>
      <c r="D9" s="3" t="s">
        <v>95</v>
      </c>
      <c r="E9" s="3">
        <v>2023.0</v>
      </c>
      <c r="F9" s="6" t="s">
        <v>96</v>
      </c>
      <c r="G9" s="3" t="s">
        <v>37</v>
      </c>
      <c r="H9" s="3" t="s">
        <v>97</v>
      </c>
      <c r="I9" s="3" t="s">
        <v>39</v>
      </c>
      <c r="J9" s="3" t="s">
        <v>98</v>
      </c>
      <c r="K9" s="3" t="s">
        <v>99</v>
      </c>
      <c r="L9" s="3" t="s">
        <v>27</v>
      </c>
      <c r="M9" s="3">
        <v>4090.0</v>
      </c>
      <c r="N9" s="3" t="s">
        <v>28</v>
      </c>
      <c r="O9" s="3" t="s">
        <v>100</v>
      </c>
      <c r="P9" s="3" t="s">
        <v>30</v>
      </c>
      <c r="Q9" s="3" t="s">
        <v>101</v>
      </c>
      <c r="R9" s="7"/>
      <c r="S9" s="7"/>
      <c r="T9" s="7"/>
      <c r="U9" s="7"/>
      <c r="V9" s="7"/>
      <c r="W9" s="7"/>
      <c r="X9" s="7"/>
      <c r="Y9" s="7"/>
      <c r="Z9" s="7"/>
      <c r="AA9" s="7"/>
      <c r="AB9" s="7"/>
      <c r="AC9" s="7"/>
      <c r="AD9" s="7"/>
      <c r="AE9" s="7"/>
    </row>
    <row r="10" ht="22.5" customHeight="1">
      <c r="A10" s="3" t="s">
        <v>102</v>
      </c>
      <c r="B10" s="3" t="s">
        <v>103</v>
      </c>
      <c r="C10" s="3" t="s">
        <v>104</v>
      </c>
      <c r="D10" s="3" t="s">
        <v>105</v>
      </c>
      <c r="E10" s="3">
        <v>2025.0</v>
      </c>
      <c r="F10" s="6" t="s">
        <v>106</v>
      </c>
      <c r="G10" s="3" t="s">
        <v>37</v>
      </c>
      <c r="H10" s="3" t="s">
        <v>49</v>
      </c>
      <c r="I10" s="3" t="s">
        <v>39</v>
      </c>
      <c r="J10" s="3" t="s">
        <v>98</v>
      </c>
      <c r="K10" s="3" t="s">
        <v>99</v>
      </c>
      <c r="L10" s="3" t="s">
        <v>107</v>
      </c>
      <c r="M10" s="3">
        <v>252.0</v>
      </c>
      <c r="N10" s="3" t="s">
        <v>28</v>
      </c>
      <c r="O10" s="3" t="s">
        <v>108</v>
      </c>
      <c r="P10" s="3" t="s">
        <v>30</v>
      </c>
      <c r="Q10" s="3" t="s">
        <v>109</v>
      </c>
      <c r="R10" s="7"/>
      <c r="S10" s="7"/>
      <c r="T10" s="7"/>
      <c r="U10" s="7"/>
      <c r="V10" s="7"/>
      <c r="W10" s="7"/>
      <c r="X10" s="7"/>
      <c r="Y10" s="7"/>
      <c r="Z10" s="7"/>
      <c r="AA10" s="7"/>
      <c r="AB10" s="7"/>
      <c r="AC10" s="7"/>
      <c r="AD10" s="7"/>
      <c r="AE10" s="7"/>
    </row>
    <row r="11" ht="22.5" customHeight="1">
      <c r="A11" s="3" t="s">
        <v>110</v>
      </c>
      <c r="B11" s="3" t="s">
        <v>111</v>
      </c>
      <c r="C11" s="3" t="s">
        <v>112</v>
      </c>
      <c r="D11" s="3" t="s">
        <v>105</v>
      </c>
      <c r="E11" s="3">
        <v>2025.0</v>
      </c>
      <c r="F11" s="6" t="s">
        <v>113</v>
      </c>
      <c r="G11" s="3" t="s">
        <v>37</v>
      </c>
      <c r="H11" s="3" t="s">
        <v>49</v>
      </c>
      <c r="I11" s="3" t="s">
        <v>39</v>
      </c>
      <c r="J11" s="3" t="s">
        <v>98</v>
      </c>
      <c r="K11" s="3" t="s">
        <v>99</v>
      </c>
      <c r="L11" s="3" t="s">
        <v>42</v>
      </c>
      <c r="M11" s="3">
        <v>671.0</v>
      </c>
      <c r="N11" s="3" t="s">
        <v>28</v>
      </c>
      <c r="O11" s="3" t="s">
        <v>108</v>
      </c>
      <c r="P11" s="3" t="s">
        <v>30</v>
      </c>
      <c r="Q11" s="3" t="s">
        <v>109</v>
      </c>
      <c r="R11" s="7"/>
      <c r="S11" s="7"/>
      <c r="T11" s="7"/>
      <c r="U11" s="7"/>
      <c r="V11" s="7"/>
      <c r="W11" s="7"/>
      <c r="X11" s="7"/>
      <c r="Y11" s="7"/>
      <c r="Z11" s="7"/>
      <c r="AA11" s="7"/>
      <c r="AB11" s="7"/>
      <c r="AC11" s="7"/>
      <c r="AD11" s="7"/>
      <c r="AE11" s="7"/>
    </row>
    <row r="12" ht="22.5" customHeight="1">
      <c r="A12" s="3" t="s">
        <v>114</v>
      </c>
      <c r="B12" s="3" t="s">
        <v>115</v>
      </c>
      <c r="C12" s="8" t="s">
        <v>116</v>
      </c>
      <c r="D12" s="3" t="s">
        <v>105</v>
      </c>
      <c r="E12" s="3">
        <v>2025.0</v>
      </c>
      <c r="F12" s="6" t="s">
        <v>117</v>
      </c>
      <c r="G12" s="3" t="s">
        <v>37</v>
      </c>
      <c r="H12" s="3" t="s">
        <v>49</v>
      </c>
      <c r="I12" s="3" t="s">
        <v>39</v>
      </c>
      <c r="J12" s="3" t="s">
        <v>98</v>
      </c>
      <c r="K12" s="3" t="s">
        <v>99</v>
      </c>
      <c r="L12" s="9" t="s">
        <v>42</v>
      </c>
      <c r="M12" s="3">
        <v>720.0</v>
      </c>
      <c r="N12" s="3" t="s">
        <v>28</v>
      </c>
      <c r="O12" s="3" t="s">
        <v>108</v>
      </c>
      <c r="P12" s="3" t="s">
        <v>118</v>
      </c>
      <c r="Q12" s="3" t="s">
        <v>119</v>
      </c>
      <c r="R12" s="7"/>
      <c r="S12" s="7"/>
      <c r="T12" s="7"/>
      <c r="U12" s="7"/>
      <c r="V12" s="7"/>
      <c r="W12" s="7"/>
      <c r="X12" s="7"/>
      <c r="Y12" s="7"/>
      <c r="Z12" s="7"/>
      <c r="AA12" s="7"/>
      <c r="AB12" s="7"/>
      <c r="AC12" s="7"/>
      <c r="AD12" s="7"/>
      <c r="AE12" s="7"/>
    </row>
    <row r="13" ht="22.5" customHeight="1">
      <c r="A13" s="3" t="s">
        <v>120</v>
      </c>
      <c r="B13" s="3" t="s">
        <v>121</v>
      </c>
      <c r="C13" s="3" t="s">
        <v>122</v>
      </c>
      <c r="D13" s="4" t="s">
        <v>123</v>
      </c>
      <c r="E13" s="5">
        <v>2023.0</v>
      </c>
      <c r="F13" s="6" t="s">
        <v>124</v>
      </c>
      <c r="G13" s="3" t="s">
        <v>22</v>
      </c>
      <c r="H13" s="3" t="s">
        <v>49</v>
      </c>
      <c r="I13" s="3" t="s">
        <v>39</v>
      </c>
      <c r="J13" s="3" t="s">
        <v>98</v>
      </c>
      <c r="K13" s="3" t="s">
        <v>99</v>
      </c>
      <c r="L13" s="3" t="s">
        <v>125</v>
      </c>
      <c r="M13" s="3">
        <v>29.0</v>
      </c>
      <c r="N13" s="3" t="s">
        <v>28</v>
      </c>
      <c r="O13" s="3" t="s">
        <v>126</v>
      </c>
      <c r="P13" s="3" t="s">
        <v>30</v>
      </c>
      <c r="Q13" s="3" t="s">
        <v>127</v>
      </c>
      <c r="R13" s="7"/>
      <c r="S13" s="7"/>
      <c r="T13" s="7"/>
      <c r="U13" s="7"/>
      <c r="V13" s="7"/>
      <c r="W13" s="7"/>
      <c r="X13" s="7"/>
      <c r="Y13" s="7"/>
      <c r="Z13" s="7"/>
      <c r="AA13" s="7"/>
      <c r="AB13" s="7"/>
      <c r="AC13" s="7"/>
      <c r="AD13" s="7"/>
      <c r="AE13" s="7"/>
    </row>
    <row r="14" ht="22.5" customHeight="1">
      <c r="A14" s="3" t="s">
        <v>128</v>
      </c>
      <c r="B14" s="3" t="s">
        <v>129</v>
      </c>
      <c r="C14" s="3" t="s">
        <v>130</v>
      </c>
      <c r="D14" s="3" t="s">
        <v>131</v>
      </c>
      <c r="E14" s="3">
        <v>2024.0</v>
      </c>
      <c r="F14" s="6" t="s">
        <v>132</v>
      </c>
      <c r="G14" s="3" t="s">
        <v>37</v>
      </c>
      <c r="H14" s="3" t="s">
        <v>133</v>
      </c>
      <c r="I14" s="3" t="s">
        <v>62</v>
      </c>
      <c r="J14" s="3" t="s">
        <v>134</v>
      </c>
      <c r="K14" s="3" t="s">
        <v>79</v>
      </c>
      <c r="L14" s="3" t="s">
        <v>27</v>
      </c>
      <c r="M14" s="3">
        <v>3780.0</v>
      </c>
      <c r="N14" s="3" t="s">
        <v>28</v>
      </c>
      <c r="O14" s="3" t="s">
        <v>30</v>
      </c>
      <c r="P14" s="3" t="s">
        <v>30</v>
      </c>
      <c r="Q14" s="3" t="s">
        <v>135</v>
      </c>
      <c r="R14" s="7"/>
      <c r="S14" s="7"/>
      <c r="T14" s="7"/>
      <c r="U14" s="7"/>
      <c r="V14" s="7"/>
      <c r="W14" s="7"/>
      <c r="X14" s="7"/>
      <c r="Y14" s="7"/>
      <c r="Z14" s="7"/>
      <c r="AA14" s="7"/>
      <c r="AB14" s="7"/>
      <c r="AC14" s="7"/>
      <c r="AD14" s="7"/>
      <c r="AE14" s="7"/>
    </row>
    <row r="15" ht="22.5" customHeight="1">
      <c r="A15" s="3" t="s">
        <v>136</v>
      </c>
      <c r="B15" s="3" t="s">
        <v>137</v>
      </c>
      <c r="C15" s="3" t="s">
        <v>138</v>
      </c>
      <c r="D15" s="3" t="s">
        <v>105</v>
      </c>
      <c r="E15" s="3">
        <v>2025.0</v>
      </c>
      <c r="F15" s="6" t="s">
        <v>139</v>
      </c>
      <c r="G15" s="3" t="s">
        <v>37</v>
      </c>
      <c r="H15" s="3" t="s">
        <v>49</v>
      </c>
      <c r="I15" s="3" t="s">
        <v>39</v>
      </c>
      <c r="J15" s="3" t="s">
        <v>98</v>
      </c>
      <c r="K15" s="3" t="s">
        <v>99</v>
      </c>
      <c r="L15" s="3" t="s">
        <v>140</v>
      </c>
      <c r="M15" s="3">
        <v>1597.0</v>
      </c>
      <c r="N15" s="3" t="s">
        <v>28</v>
      </c>
      <c r="O15" s="3" t="s">
        <v>108</v>
      </c>
      <c r="P15" s="3" t="s">
        <v>141</v>
      </c>
      <c r="Q15" s="3" t="s">
        <v>119</v>
      </c>
      <c r="R15" s="7"/>
      <c r="S15" s="7"/>
      <c r="T15" s="7"/>
      <c r="U15" s="7"/>
      <c r="V15" s="7"/>
      <c r="W15" s="7"/>
      <c r="X15" s="7"/>
      <c r="Y15" s="7"/>
      <c r="Z15" s="7"/>
      <c r="AA15" s="7"/>
      <c r="AB15" s="7"/>
      <c r="AC15" s="7"/>
      <c r="AD15" s="7"/>
      <c r="AE15" s="7"/>
    </row>
    <row r="16" ht="22.5" customHeight="1">
      <c r="A16" s="3" t="s">
        <v>142</v>
      </c>
      <c r="B16" s="3" t="s">
        <v>143</v>
      </c>
      <c r="C16" s="3" t="s">
        <v>144</v>
      </c>
      <c r="D16" s="3" t="s">
        <v>145</v>
      </c>
      <c r="E16" s="3">
        <v>2018.0</v>
      </c>
      <c r="F16" s="6" t="s">
        <v>146</v>
      </c>
      <c r="G16" s="3" t="s">
        <v>22</v>
      </c>
      <c r="H16" s="3" t="s">
        <v>88</v>
      </c>
      <c r="I16" s="3" t="s">
        <v>24</v>
      </c>
      <c r="J16" s="3" t="s">
        <v>40</v>
      </c>
      <c r="K16" s="3" t="s">
        <v>79</v>
      </c>
      <c r="L16" s="3" t="s">
        <v>27</v>
      </c>
      <c r="M16" s="3">
        <v>1669.0</v>
      </c>
      <c r="N16" s="3" t="s">
        <v>28</v>
      </c>
      <c r="O16" s="3" t="s">
        <v>30</v>
      </c>
      <c r="P16" s="3" t="s">
        <v>30</v>
      </c>
      <c r="Q16" s="3" t="s">
        <v>147</v>
      </c>
      <c r="R16" s="7"/>
      <c r="S16" s="7"/>
      <c r="T16" s="7"/>
      <c r="U16" s="7"/>
      <c r="V16" s="7"/>
      <c r="W16" s="7"/>
      <c r="X16" s="7"/>
      <c r="Y16" s="7"/>
      <c r="Z16" s="7"/>
      <c r="AA16" s="7"/>
      <c r="AB16" s="7"/>
      <c r="AC16" s="7"/>
      <c r="AD16" s="7"/>
      <c r="AE16" s="7"/>
    </row>
    <row r="17" ht="22.5" customHeight="1">
      <c r="A17" s="3" t="s">
        <v>148</v>
      </c>
      <c r="B17" s="10" t="s">
        <v>149</v>
      </c>
      <c r="C17" s="3" t="s">
        <v>150</v>
      </c>
      <c r="D17" s="3" t="s">
        <v>151</v>
      </c>
      <c r="E17" s="3">
        <v>2024.0</v>
      </c>
      <c r="F17" s="4" t="s">
        <v>152</v>
      </c>
      <c r="G17" s="3" t="s">
        <v>22</v>
      </c>
      <c r="H17" s="3" t="s">
        <v>49</v>
      </c>
      <c r="I17" s="3" t="s">
        <v>24</v>
      </c>
      <c r="J17" s="3" t="s">
        <v>40</v>
      </c>
      <c r="K17" s="3" t="s">
        <v>26</v>
      </c>
      <c r="L17" s="3" t="s">
        <v>153</v>
      </c>
      <c r="M17" s="3">
        <v>1317.0</v>
      </c>
      <c r="N17" s="3" t="s">
        <v>28</v>
      </c>
      <c r="O17" s="3" t="s">
        <v>154</v>
      </c>
      <c r="P17" s="3" t="s">
        <v>30</v>
      </c>
      <c r="Q17" s="3" t="s">
        <v>155</v>
      </c>
      <c r="R17" s="7"/>
      <c r="S17" s="7"/>
      <c r="T17" s="7"/>
      <c r="U17" s="7"/>
      <c r="V17" s="7"/>
      <c r="W17" s="7"/>
      <c r="X17" s="7"/>
      <c r="Y17" s="7"/>
      <c r="Z17" s="7"/>
      <c r="AA17" s="7"/>
      <c r="AB17" s="7"/>
      <c r="AC17" s="7"/>
      <c r="AD17" s="7"/>
      <c r="AE17" s="7"/>
    </row>
    <row r="18" ht="22.5" customHeight="1">
      <c r="A18" s="3" t="s">
        <v>156</v>
      </c>
      <c r="B18" s="3" t="s">
        <v>157</v>
      </c>
      <c r="C18" s="3" t="s">
        <v>158</v>
      </c>
      <c r="D18" s="3" t="s">
        <v>159</v>
      </c>
      <c r="E18" s="3">
        <v>2018.0</v>
      </c>
      <c r="F18" s="6" t="s">
        <v>160</v>
      </c>
      <c r="G18" s="3" t="s">
        <v>37</v>
      </c>
      <c r="H18" s="3" t="s">
        <v>49</v>
      </c>
      <c r="I18" s="3" t="s">
        <v>24</v>
      </c>
      <c r="J18" s="3" t="s">
        <v>134</v>
      </c>
      <c r="K18" s="3" t="s">
        <v>79</v>
      </c>
      <c r="L18" s="3" t="s">
        <v>42</v>
      </c>
      <c r="M18" s="3">
        <v>99.0</v>
      </c>
      <c r="N18" s="3" t="s">
        <v>28</v>
      </c>
      <c r="O18" s="3" t="s">
        <v>30</v>
      </c>
      <c r="P18" s="3" t="s">
        <v>30</v>
      </c>
      <c r="Q18" s="3" t="s">
        <v>101</v>
      </c>
      <c r="R18" s="7"/>
      <c r="S18" s="7"/>
      <c r="T18" s="7"/>
      <c r="U18" s="7"/>
      <c r="V18" s="7"/>
      <c r="W18" s="7"/>
      <c r="X18" s="7"/>
      <c r="Y18" s="7"/>
      <c r="Z18" s="7"/>
      <c r="AA18" s="7"/>
      <c r="AB18" s="7"/>
      <c r="AC18" s="7"/>
      <c r="AD18" s="7"/>
      <c r="AE18" s="7"/>
    </row>
    <row r="19" ht="22.5" customHeight="1">
      <c r="A19" s="3" t="s">
        <v>161</v>
      </c>
      <c r="B19" s="3" t="s">
        <v>162</v>
      </c>
      <c r="C19" s="3" t="s">
        <v>163</v>
      </c>
      <c r="D19" s="4" t="s">
        <v>164</v>
      </c>
      <c r="E19" s="5">
        <v>2024.0</v>
      </c>
      <c r="F19" s="4" t="s">
        <v>165</v>
      </c>
      <c r="G19" s="3" t="s">
        <v>37</v>
      </c>
      <c r="H19" s="3" t="s">
        <v>49</v>
      </c>
      <c r="I19" s="3" t="s">
        <v>39</v>
      </c>
      <c r="J19" s="3" t="s">
        <v>98</v>
      </c>
      <c r="K19" s="3" t="s">
        <v>99</v>
      </c>
      <c r="L19" s="3" t="s">
        <v>166</v>
      </c>
      <c r="M19" s="3">
        <v>87.0</v>
      </c>
      <c r="N19" s="3" t="s">
        <v>28</v>
      </c>
      <c r="O19" s="3" t="s">
        <v>167</v>
      </c>
      <c r="P19" s="3" t="s">
        <v>30</v>
      </c>
      <c r="Q19" s="3" t="s">
        <v>168</v>
      </c>
      <c r="R19" s="7"/>
      <c r="S19" s="7"/>
      <c r="T19" s="7"/>
      <c r="U19" s="7"/>
      <c r="V19" s="7"/>
      <c r="W19" s="7"/>
      <c r="X19" s="7"/>
      <c r="Y19" s="7"/>
      <c r="Z19" s="7"/>
      <c r="AA19" s="7"/>
      <c r="AB19" s="7"/>
      <c r="AC19" s="7"/>
      <c r="AD19" s="7"/>
      <c r="AE19" s="7"/>
    </row>
    <row r="20" ht="22.5" customHeight="1">
      <c r="A20" s="3" t="s">
        <v>169</v>
      </c>
      <c r="B20" s="3" t="s">
        <v>170</v>
      </c>
      <c r="C20" s="3" t="s">
        <v>171</v>
      </c>
      <c r="D20" s="4" t="s">
        <v>172</v>
      </c>
      <c r="E20" s="5">
        <v>2023.0</v>
      </c>
      <c r="F20" s="6" t="s">
        <v>124</v>
      </c>
      <c r="G20" s="3" t="s">
        <v>22</v>
      </c>
      <c r="H20" s="3" t="s">
        <v>49</v>
      </c>
      <c r="I20" s="3" t="s">
        <v>39</v>
      </c>
      <c r="J20" s="3" t="s">
        <v>98</v>
      </c>
      <c r="K20" s="3" t="s">
        <v>99</v>
      </c>
      <c r="L20" s="3" t="s">
        <v>173</v>
      </c>
      <c r="M20" s="3">
        <v>34.0</v>
      </c>
      <c r="N20" s="3" t="s">
        <v>28</v>
      </c>
      <c r="O20" s="3" t="s">
        <v>126</v>
      </c>
      <c r="P20" s="3" t="s">
        <v>30</v>
      </c>
      <c r="Q20" s="3" t="s">
        <v>127</v>
      </c>
      <c r="R20" s="7"/>
      <c r="S20" s="7"/>
      <c r="T20" s="7"/>
      <c r="U20" s="7"/>
      <c r="V20" s="7"/>
      <c r="W20" s="7"/>
      <c r="X20" s="7"/>
      <c r="Y20" s="7"/>
      <c r="Z20" s="7"/>
      <c r="AA20" s="7"/>
      <c r="AB20" s="7"/>
      <c r="AC20" s="7"/>
      <c r="AD20" s="7"/>
      <c r="AE20" s="7"/>
    </row>
    <row r="21" ht="22.5" customHeight="1">
      <c r="A21" s="3" t="s">
        <v>174</v>
      </c>
      <c r="B21" s="3" t="s">
        <v>175</v>
      </c>
      <c r="C21" s="3" t="s">
        <v>176</v>
      </c>
      <c r="D21" s="3" t="s">
        <v>105</v>
      </c>
      <c r="E21" s="3">
        <v>2025.0</v>
      </c>
      <c r="F21" s="6" t="s">
        <v>177</v>
      </c>
      <c r="G21" s="3" t="s">
        <v>37</v>
      </c>
      <c r="H21" s="3" t="s">
        <v>49</v>
      </c>
      <c r="I21" s="3" t="s">
        <v>39</v>
      </c>
      <c r="J21" s="3" t="s">
        <v>98</v>
      </c>
      <c r="K21" s="3" t="s">
        <v>99</v>
      </c>
      <c r="L21" s="3" t="s">
        <v>27</v>
      </c>
      <c r="M21" s="3">
        <v>204.0</v>
      </c>
      <c r="N21" s="3" t="s">
        <v>28</v>
      </c>
      <c r="O21" s="3" t="s">
        <v>108</v>
      </c>
      <c r="P21" s="3" t="s">
        <v>30</v>
      </c>
      <c r="Q21" s="3" t="s">
        <v>109</v>
      </c>
      <c r="R21" s="7"/>
      <c r="S21" s="7"/>
      <c r="T21" s="7"/>
      <c r="U21" s="7"/>
      <c r="V21" s="7"/>
      <c r="W21" s="7"/>
      <c r="X21" s="7"/>
      <c r="Y21" s="7"/>
      <c r="Z21" s="7"/>
      <c r="AA21" s="7"/>
      <c r="AB21" s="7"/>
      <c r="AC21" s="7"/>
      <c r="AD21" s="7"/>
      <c r="AE21" s="7"/>
    </row>
    <row r="22" ht="22.5" customHeight="1">
      <c r="A22" s="3" t="s">
        <v>178</v>
      </c>
      <c r="B22" s="3" t="s">
        <v>179</v>
      </c>
      <c r="C22" s="8" t="s">
        <v>180</v>
      </c>
      <c r="D22" s="3" t="s">
        <v>105</v>
      </c>
      <c r="E22" s="3">
        <v>2025.0</v>
      </c>
      <c r="F22" s="6" t="s">
        <v>139</v>
      </c>
      <c r="G22" s="3" t="s">
        <v>37</v>
      </c>
      <c r="H22" s="3" t="s">
        <v>49</v>
      </c>
      <c r="I22" s="3" t="s">
        <v>39</v>
      </c>
      <c r="J22" s="3" t="s">
        <v>98</v>
      </c>
      <c r="K22" s="3" t="s">
        <v>99</v>
      </c>
      <c r="L22" s="3" t="s">
        <v>27</v>
      </c>
      <c r="M22" s="3">
        <v>460.0</v>
      </c>
      <c r="N22" s="3" t="s">
        <v>28</v>
      </c>
      <c r="O22" s="3" t="s">
        <v>108</v>
      </c>
      <c r="P22" s="3" t="s">
        <v>181</v>
      </c>
      <c r="Q22" s="3" t="s">
        <v>119</v>
      </c>
      <c r="R22" s="7"/>
      <c r="S22" s="7"/>
      <c r="T22" s="7"/>
      <c r="U22" s="7"/>
      <c r="V22" s="7"/>
      <c r="W22" s="7"/>
      <c r="X22" s="7"/>
      <c r="Y22" s="7"/>
      <c r="Z22" s="7"/>
      <c r="AA22" s="7"/>
      <c r="AB22" s="7"/>
      <c r="AC22" s="7"/>
      <c r="AD22" s="7"/>
      <c r="AE22" s="7"/>
    </row>
    <row r="23" ht="22.5" customHeight="1">
      <c r="A23" s="3" t="s">
        <v>182</v>
      </c>
      <c r="B23" s="3" t="s">
        <v>183</v>
      </c>
      <c r="C23" s="3" t="s">
        <v>184</v>
      </c>
      <c r="D23" s="4" t="s">
        <v>185</v>
      </c>
      <c r="E23" s="5">
        <v>2025.0</v>
      </c>
      <c r="F23" s="6" t="s">
        <v>186</v>
      </c>
      <c r="G23" s="3" t="s">
        <v>22</v>
      </c>
      <c r="H23" s="3" t="s">
        <v>61</v>
      </c>
      <c r="I23" s="3" t="s">
        <v>24</v>
      </c>
      <c r="J23" s="3" t="s">
        <v>25</v>
      </c>
      <c r="K23" s="3" t="s">
        <v>26</v>
      </c>
      <c r="L23" s="3" t="s">
        <v>63</v>
      </c>
      <c r="M23" s="3">
        <v>1000.0</v>
      </c>
      <c r="N23" s="3" t="s">
        <v>28</v>
      </c>
      <c r="O23" s="3" t="s">
        <v>187</v>
      </c>
      <c r="P23" s="3" t="s">
        <v>30</v>
      </c>
      <c r="Q23" s="3" t="s">
        <v>188</v>
      </c>
      <c r="R23" s="7"/>
      <c r="S23" s="7"/>
      <c r="T23" s="7"/>
      <c r="U23" s="7"/>
      <c r="V23" s="7"/>
      <c r="W23" s="7"/>
      <c r="X23" s="7"/>
      <c r="Y23" s="7"/>
      <c r="Z23" s="7"/>
      <c r="AA23" s="7"/>
      <c r="AB23" s="7"/>
      <c r="AC23" s="7"/>
      <c r="AD23" s="7"/>
      <c r="AE23" s="7"/>
    </row>
    <row r="24" ht="22.5" customHeight="1">
      <c r="A24" s="3" t="s">
        <v>189</v>
      </c>
      <c r="B24" s="3" t="s">
        <v>190</v>
      </c>
      <c r="C24" s="3" t="s">
        <v>191</v>
      </c>
      <c r="D24" s="4" t="s">
        <v>192</v>
      </c>
      <c r="E24" s="5">
        <v>2025.0</v>
      </c>
      <c r="F24" s="6" t="s">
        <v>186</v>
      </c>
      <c r="G24" s="3" t="s">
        <v>22</v>
      </c>
      <c r="H24" s="3" t="s">
        <v>61</v>
      </c>
      <c r="I24" s="3" t="s">
        <v>62</v>
      </c>
      <c r="J24" s="3" t="s">
        <v>25</v>
      </c>
      <c r="K24" s="3" t="s">
        <v>26</v>
      </c>
      <c r="L24" s="3" t="s">
        <v>63</v>
      </c>
      <c r="M24" s="3">
        <v>1347.0</v>
      </c>
      <c r="N24" s="3" t="s">
        <v>28</v>
      </c>
      <c r="O24" s="3" t="s">
        <v>187</v>
      </c>
      <c r="P24" s="3" t="s">
        <v>30</v>
      </c>
      <c r="Q24" s="3" t="s">
        <v>188</v>
      </c>
      <c r="R24" s="7"/>
      <c r="S24" s="7"/>
      <c r="T24" s="7"/>
      <c r="U24" s="7"/>
      <c r="V24" s="7"/>
      <c r="W24" s="7"/>
      <c r="X24" s="7"/>
      <c r="Y24" s="7"/>
      <c r="Z24" s="7"/>
      <c r="AA24" s="7"/>
      <c r="AB24" s="7"/>
      <c r="AC24" s="7"/>
      <c r="AD24" s="7"/>
      <c r="AE24" s="7"/>
    </row>
    <row r="25" ht="22.5" customHeight="1">
      <c r="A25" s="3" t="s">
        <v>193</v>
      </c>
      <c r="B25" s="3" t="s">
        <v>194</v>
      </c>
      <c r="C25" s="3" t="s">
        <v>195</v>
      </c>
      <c r="D25" s="4" t="s">
        <v>196</v>
      </c>
      <c r="E25" s="5">
        <v>2025.0</v>
      </c>
      <c r="F25" s="6" t="s">
        <v>186</v>
      </c>
      <c r="G25" s="3" t="s">
        <v>22</v>
      </c>
      <c r="H25" s="3" t="s">
        <v>61</v>
      </c>
      <c r="I25" s="3" t="s">
        <v>62</v>
      </c>
      <c r="J25" s="3" t="s">
        <v>25</v>
      </c>
      <c r="K25" s="3" t="s">
        <v>26</v>
      </c>
      <c r="L25" s="3" t="s">
        <v>63</v>
      </c>
      <c r="M25" s="3">
        <v>624.0</v>
      </c>
      <c r="N25" s="3" t="s">
        <v>28</v>
      </c>
      <c r="O25" s="3" t="s">
        <v>197</v>
      </c>
      <c r="P25" s="3" t="s">
        <v>30</v>
      </c>
      <c r="Q25" s="3" t="s">
        <v>188</v>
      </c>
      <c r="R25" s="7"/>
      <c r="S25" s="7"/>
      <c r="T25" s="7"/>
      <c r="U25" s="7"/>
      <c r="V25" s="7"/>
      <c r="W25" s="7"/>
      <c r="X25" s="7"/>
      <c r="Y25" s="7"/>
      <c r="Z25" s="7"/>
      <c r="AA25" s="7"/>
      <c r="AB25" s="7"/>
      <c r="AC25" s="7"/>
      <c r="AD25" s="7"/>
      <c r="AE25" s="7"/>
    </row>
    <row r="26" ht="22.5" customHeight="1">
      <c r="A26" s="3" t="s">
        <v>198</v>
      </c>
      <c r="B26" s="3" t="s">
        <v>199</v>
      </c>
      <c r="C26" s="3" t="s">
        <v>200</v>
      </c>
      <c r="D26" s="3" t="s">
        <v>201</v>
      </c>
      <c r="E26" s="3">
        <v>2024.0</v>
      </c>
      <c r="F26" s="6" t="s">
        <v>202</v>
      </c>
      <c r="G26" s="3" t="s">
        <v>203</v>
      </c>
      <c r="H26" s="3" t="s">
        <v>49</v>
      </c>
      <c r="I26" s="3" t="s">
        <v>24</v>
      </c>
      <c r="J26" s="3" t="s">
        <v>51</v>
      </c>
      <c r="K26" s="3" t="s">
        <v>89</v>
      </c>
      <c r="L26" s="3" t="s">
        <v>204</v>
      </c>
      <c r="M26" s="3">
        <v>1000.0</v>
      </c>
      <c r="N26" s="3" t="s">
        <v>28</v>
      </c>
      <c r="O26" s="3" t="s">
        <v>30</v>
      </c>
      <c r="P26" s="3" t="s">
        <v>30</v>
      </c>
      <c r="Q26" s="3" t="s">
        <v>205</v>
      </c>
      <c r="R26" s="7"/>
      <c r="S26" s="7"/>
      <c r="T26" s="7"/>
      <c r="U26" s="7"/>
      <c r="V26" s="7"/>
      <c r="W26" s="7"/>
      <c r="X26" s="7"/>
      <c r="Y26" s="7"/>
      <c r="Z26" s="7"/>
      <c r="AA26" s="7"/>
      <c r="AB26" s="7"/>
      <c r="AC26" s="7"/>
      <c r="AD26" s="7"/>
      <c r="AE26" s="7"/>
    </row>
    <row r="27" ht="22.5" customHeight="1">
      <c r="A27" s="3" t="s">
        <v>206</v>
      </c>
      <c r="B27" s="3" t="s">
        <v>207</v>
      </c>
      <c r="C27" s="3" t="s">
        <v>208</v>
      </c>
      <c r="D27" s="3" t="s">
        <v>209</v>
      </c>
      <c r="E27" s="3">
        <v>2025.0</v>
      </c>
      <c r="F27" s="4" t="s">
        <v>210</v>
      </c>
      <c r="G27" s="3" t="s">
        <v>37</v>
      </c>
      <c r="H27" s="3" t="s">
        <v>49</v>
      </c>
      <c r="I27" s="3" t="s">
        <v>39</v>
      </c>
      <c r="J27" s="3" t="s">
        <v>98</v>
      </c>
      <c r="K27" s="3" t="s">
        <v>99</v>
      </c>
      <c r="L27" s="3" t="s">
        <v>204</v>
      </c>
      <c r="M27" s="3">
        <v>20.0</v>
      </c>
      <c r="N27" s="3" t="s">
        <v>28</v>
      </c>
      <c r="O27" s="3" t="s">
        <v>30</v>
      </c>
      <c r="P27" s="3" t="s">
        <v>30</v>
      </c>
      <c r="Q27" s="3" t="s">
        <v>211</v>
      </c>
      <c r="R27" s="7"/>
      <c r="S27" s="7"/>
      <c r="T27" s="7"/>
      <c r="U27" s="7"/>
      <c r="V27" s="7"/>
      <c r="W27" s="7"/>
      <c r="X27" s="7"/>
      <c r="Y27" s="7"/>
      <c r="Z27" s="7"/>
      <c r="AA27" s="7"/>
      <c r="AB27" s="7"/>
      <c r="AC27" s="7"/>
      <c r="AD27" s="7"/>
      <c r="AE27" s="7"/>
    </row>
    <row r="28" ht="22.5" customHeight="1">
      <c r="A28" s="3" t="s">
        <v>212</v>
      </c>
      <c r="B28" s="3" t="s">
        <v>213</v>
      </c>
      <c r="C28" s="3" t="s">
        <v>214</v>
      </c>
      <c r="D28" s="3" t="s">
        <v>105</v>
      </c>
      <c r="E28" s="3">
        <v>2025.0</v>
      </c>
      <c r="F28" s="6" t="s">
        <v>215</v>
      </c>
      <c r="G28" s="3" t="s">
        <v>37</v>
      </c>
      <c r="H28" s="3" t="s">
        <v>49</v>
      </c>
      <c r="I28" s="3" t="s">
        <v>39</v>
      </c>
      <c r="J28" s="3" t="s">
        <v>98</v>
      </c>
      <c r="K28" s="3" t="s">
        <v>99</v>
      </c>
      <c r="L28" s="3" t="s">
        <v>107</v>
      </c>
      <c r="M28" s="3">
        <v>165.0</v>
      </c>
      <c r="N28" s="3" t="s">
        <v>28</v>
      </c>
      <c r="O28" s="3" t="s">
        <v>108</v>
      </c>
      <c r="P28" s="3" t="s">
        <v>30</v>
      </c>
      <c r="Q28" s="3" t="s">
        <v>216</v>
      </c>
      <c r="R28" s="7"/>
      <c r="S28" s="7"/>
      <c r="T28" s="7"/>
      <c r="U28" s="7"/>
      <c r="V28" s="7"/>
      <c r="W28" s="7"/>
      <c r="X28" s="7"/>
      <c r="Y28" s="7"/>
      <c r="Z28" s="7"/>
      <c r="AA28" s="7"/>
      <c r="AB28" s="7"/>
      <c r="AC28" s="7"/>
      <c r="AD28" s="7"/>
      <c r="AE28" s="7"/>
    </row>
    <row r="29" ht="22.5" customHeight="1">
      <c r="A29" s="3" t="s">
        <v>217</v>
      </c>
      <c r="B29" s="3" t="s">
        <v>218</v>
      </c>
      <c r="C29" s="8" t="s">
        <v>219</v>
      </c>
      <c r="D29" s="3" t="s">
        <v>105</v>
      </c>
      <c r="E29" s="3">
        <v>2025.0</v>
      </c>
      <c r="F29" s="6" t="s">
        <v>220</v>
      </c>
      <c r="G29" s="3" t="s">
        <v>37</v>
      </c>
      <c r="H29" s="3" t="s">
        <v>49</v>
      </c>
      <c r="I29" s="3" t="s">
        <v>39</v>
      </c>
      <c r="J29" s="3" t="s">
        <v>98</v>
      </c>
      <c r="K29" s="3" t="s">
        <v>99</v>
      </c>
      <c r="L29" s="3" t="s">
        <v>107</v>
      </c>
      <c r="M29" s="3">
        <v>417.0</v>
      </c>
      <c r="N29" s="3" t="s">
        <v>28</v>
      </c>
      <c r="O29" s="3" t="s">
        <v>108</v>
      </c>
      <c r="P29" s="3" t="s">
        <v>221</v>
      </c>
      <c r="Q29" s="3" t="s">
        <v>119</v>
      </c>
      <c r="R29" s="7"/>
      <c r="S29" s="7"/>
      <c r="T29" s="7"/>
      <c r="U29" s="7"/>
      <c r="V29" s="7"/>
      <c r="W29" s="7"/>
      <c r="X29" s="7"/>
      <c r="Y29" s="7"/>
      <c r="Z29" s="7"/>
      <c r="AA29" s="7"/>
      <c r="AB29" s="7"/>
      <c r="AC29" s="7"/>
      <c r="AD29" s="7"/>
      <c r="AE29" s="7"/>
    </row>
    <row r="30" ht="22.5" customHeight="1">
      <c r="A30" s="3" t="s">
        <v>222</v>
      </c>
      <c r="B30" s="3" t="s">
        <v>223</v>
      </c>
      <c r="C30" s="3" t="s">
        <v>224</v>
      </c>
      <c r="D30" s="4" t="s">
        <v>225</v>
      </c>
      <c r="E30" s="5">
        <v>2025.0</v>
      </c>
      <c r="F30" s="4" t="s">
        <v>226</v>
      </c>
      <c r="G30" s="3" t="s">
        <v>37</v>
      </c>
      <c r="H30" s="3" t="s">
        <v>61</v>
      </c>
      <c r="I30" s="3" t="s">
        <v>24</v>
      </c>
      <c r="J30" s="3" t="s">
        <v>25</v>
      </c>
      <c r="K30" s="3" t="s">
        <v>26</v>
      </c>
      <c r="L30" s="3" t="s">
        <v>63</v>
      </c>
      <c r="M30" s="3">
        <v>11810.0</v>
      </c>
      <c r="N30" s="3" t="s">
        <v>28</v>
      </c>
      <c r="O30" s="3" t="s">
        <v>227</v>
      </c>
      <c r="P30" s="3" t="s">
        <v>30</v>
      </c>
      <c r="Q30" s="3" t="s">
        <v>228</v>
      </c>
      <c r="R30" s="7"/>
      <c r="S30" s="7"/>
      <c r="T30" s="7"/>
      <c r="U30" s="7"/>
      <c r="V30" s="7"/>
      <c r="W30" s="7"/>
      <c r="X30" s="7"/>
      <c r="Y30" s="7"/>
      <c r="Z30" s="7"/>
      <c r="AA30" s="7"/>
      <c r="AB30" s="7"/>
      <c r="AC30" s="7"/>
      <c r="AD30" s="7"/>
      <c r="AE30" s="7"/>
    </row>
    <row r="31" ht="22.5" customHeight="1">
      <c r="A31" s="3" t="s">
        <v>229</v>
      </c>
      <c r="B31" s="3" t="s">
        <v>230</v>
      </c>
      <c r="C31" s="3" t="s">
        <v>231</v>
      </c>
      <c r="D31" s="5" t="s">
        <v>232</v>
      </c>
      <c r="E31" s="5">
        <v>2024.0</v>
      </c>
      <c r="F31" s="4" t="s">
        <v>233</v>
      </c>
      <c r="G31" s="3" t="s">
        <v>37</v>
      </c>
      <c r="H31" s="3" t="s">
        <v>88</v>
      </c>
      <c r="I31" s="3" t="s">
        <v>24</v>
      </c>
      <c r="J31" s="3" t="s">
        <v>25</v>
      </c>
      <c r="K31" s="3" t="s">
        <v>99</v>
      </c>
      <c r="L31" s="3" t="s">
        <v>204</v>
      </c>
      <c r="M31" s="3">
        <v>327.0</v>
      </c>
      <c r="N31" s="3" t="s">
        <v>28</v>
      </c>
      <c r="O31" s="3" t="s">
        <v>30</v>
      </c>
      <c r="P31" s="3" t="s">
        <v>30</v>
      </c>
      <c r="Q31" s="3" t="s">
        <v>234</v>
      </c>
      <c r="R31" s="7"/>
      <c r="S31" s="7"/>
      <c r="T31" s="7"/>
      <c r="U31" s="7"/>
      <c r="V31" s="7"/>
      <c r="W31" s="7"/>
      <c r="X31" s="7"/>
      <c r="Y31" s="7"/>
      <c r="Z31" s="7"/>
      <c r="AA31" s="7"/>
      <c r="AB31" s="7"/>
      <c r="AC31" s="7"/>
      <c r="AD31" s="7"/>
      <c r="AE31" s="7"/>
    </row>
    <row r="32" ht="22.5" customHeight="1">
      <c r="A32" s="3" t="s">
        <v>235</v>
      </c>
      <c r="B32" s="3" t="s">
        <v>236</v>
      </c>
      <c r="C32" s="3" t="s">
        <v>237</v>
      </c>
      <c r="D32" s="3" t="s">
        <v>238</v>
      </c>
      <c r="E32" s="3">
        <v>2025.0</v>
      </c>
      <c r="F32" s="4" t="s">
        <v>239</v>
      </c>
      <c r="G32" s="3" t="s">
        <v>37</v>
      </c>
      <c r="H32" s="3" t="s">
        <v>49</v>
      </c>
      <c r="I32" s="3" t="s">
        <v>24</v>
      </c>
      <c r="J32" s="3" t="s">
        <v>51</v>
      </c>
      <c r="K32" s="3" t="s">
        <v>26</v>
      </c>
      <c r="L32" s="3" t="s">
        <v>240</v>
      </c>
      <c r="M32" s="3">
        <v>138.0</v>
      </c>
      <c r="N32" s="3" t="s">
        <v>241</v>
      </c>
      <c r="O32" s="3" t="s">
        <v>242</v>
      </c>
      <c r="P32" s="3" t="s">
        <v>30</v>
      </c>
      <c r="Q32" s="3" t="s">
        <v>243</v>
      </c>
      <c r="R32" s="7"/>
      <c r="S32" s="7"/>
      <c r="T32" s="7"/>
      <c r="U32" s="7"/>
      <c r="V32" s="7"/>
      <c r="W32" s="7"/>
      <c r="X32" s="7"/>
      <c r="Y32" s="7"/>
      <c r="Z32" s="7"/>
      <c r="AA32" s="7"/>
      <c r="AB32" s="7"/>
      <c r="AC32" s="7"/>
      <c r="AD32" s="7"/>
      <c r="AE32" s="7"/>
    </row>
    <row r="33" ht="22.5" customHeight="1">
      <c r="A33" s="3" t="s">
        <v>244</v>
      </c>
      <c r="B33" s="3" t="s">
        <v>245</v>
      </c>
      <c r="C33" s="3" t="s">
        <v>246</v>
      </c>
      <c r="D33" s="4" t="s">
        <v>247</v>
      </c>
      <c r="E33" s="5">
        <v>2022.0</v>
      </c>
      <c r="F33" s="4" t="s">
        <v>248</v>
      </c>
      <c r="G33" s="3" t="s">
        <v>37</v>
      </c>
      <c r="H33" s="3" t="s">
        <v>49</v>
      </c>
      <c r="I33" s="3" t="s">
        <v>62</v>
      </c>
      <c r="J33" s="3" t="s">
        <v>40</v>
      </c>
      <c r="K33" s="3" t="s">
        <v>26</v>
      </c>
      <c r="L33" s="3" t="s">
        <v>249</v>
      </c>
      <c r="M33" s="3">
        <v>7092.0</v>
      </c>
      <c r="N33" s="3" t="s">
        <v>28</v>
      </c>
      <c r="O33" s="3" t="s">
        <v>250</v>
      </c>
      <c r="P33" s="3" t="s">
        <v>30</v>
      </c>
      <c r="Q33" s="3" t="s">
        <v>251</v>
      </c>
      <c r="R33" s="7"/>
      <c r="S33" s="7"/>
      <c r="T33" s="7"/>
      <c r="U33" s="7"/>
      <c r="V33" s="7"/>
      <c r="W33" s="7"/>
      <c r="X33" s="7"/>
      <c r="Y33" s="7"/>
      <c r="Z33" s="7"/>
      <c r="AA33" s="7"/>
      <c r="AB33" s="7"/>
      <c r="AC33" s="7"/>
      <c r="AD33" s="7"/>
      <c r="AE33" s="7"/>
    </row>
    <row r="34" ht="22.5" customHeight="1">
      <c r="A34" s="3" t="s">
        <v>252</v>
      </c>
      <c r="B34" s="3" t="s">
        <v>253</v>
      </c>
      <c r="C34" s="3" t="s">
        <v>254</v>
      </c>
      <c r="D34" s="4" t="s">
        <v>255</v>
      </c>
      <c r="E34" s="5">
        <v>2023.0</v>
      </c>
      <c r="F34" s="6" t="s">
        <v>124</v>
      </c>
      <c r="G34" s="3" t="s">
        <v>22</v>
      </c>
      <c r="H34" s="3" t="s">
        <v>49</v>
      </c>
      <c r="I34" s="3" t="s">
        <v>39</v>
      </c>
      <c r="J34" s="3" t="s">
        <v>98</v>
      </c>
      <c r="K34" s="3" t="s">
        <v>99</v>
      </c>
      <c r="L34" s="3" t="s">
        <v>125</v>
      </c>
      <c r="M34" s="3">
        <v>20.0</v>
      </c>
      <c r="N34" s="3" t="s">
        <v>28</v>
      </c>
      <c r="O34" s="3" t="s">
        <v>126</v>
      </c>
      <c r="P34" s="3" t="s">
        <v>30</v>
      </c>
      <c r="Q34" s="3" t="s">
        <v>127</v>
      </c>
      <c r="R34" s="7"/>
      <c r="S34" s="7"/>
      <c r="T34" s="7"/>
      <c r="U34" s="7"/>
      <c r="V34" s="7"/>
      <c r="W34" s="7"/>
      <c r="X34" s="7"/>
      <c r="Y34" s="7"/>
      <c r="Z34" s="7"/>
      <c r="AA34" s="7"/>
      <c r="AB34" s="7"/>
      <c r="AC34" s="7"/>
      <c r="AD34" s="7"/>
      <c r="AE34" s="7"/>
    </row>
    <row r="35" ht="22.5" customHeight="1">
      <c r="A35" s="3" t="s">
        <v>256</v>
      </c>
      <c r="B35" s="3" t="s">
        <v>257</v>
      </c>
      <c r="C35" s="3" t="s">
        <v>258</v>
      </c>
      <c r="D35" s="4" t="s">
        <v>259</v>
      </c>
      <c r="E35" s="3">
        <v>2025.0</v>
      </c>
      <c r="F35" s="6" t="s">
        <v>260</v>
      </c>
      <c r="G35" s="3" t="s">
        <v>261</v>
      </c>
      <c r="H35" s="3" t="s">
        <v>49</v>
      </c>
      <c r="I35" s="3" t="s">
        <v>50</v>
      </c>
      <c r="J35" s="3" t="s">
        <v>51</v>
      </c>
      <c r="K35" s="3" t="s">
        <v>26</v>
      </c>
      <c r="L35" s="3" t="s">
        <v>173</v>
      </c>
      <c r="M35" s="3">
        <v>14032.0</v>
      </c>
      <c r="N35" s="3" t="s">
        <v>241</v>
      </c>
      <c r="O35" s="3" t="s">
        <v>262</v>
      </c>
      <c r="P35" s="3" t="s">
        <v>263</v>
      </c>
      <c r="Q35" s="3" t="s">
        <v>264</v>
      </c>
      <c r="R35" s="7"/>
      <c r="S35" s="7"/>
      <c r="T35" s="7"/>
      <c r="U35" s="7"/>
      <c r="V35" s="7"/>
      <c r="W35" s="7"/>
      <c r="X35" s="7"/>
      <c r="Y35" s="7"/>
      <c r="Z35" s="7"/>
      <c r="AA35" s="7"/>
      <c r="AB35" s="7"/>
      <c r="AC35" s="7"/>
      <c r="AD35" s="7"/>
      <c r="AE35" s="7"/>
    </row>
    <row r="36" ht="22.5" customHeight="1">
      <c r="A36" s="3" t="s">
        <v>263</v>
      </c>
      <c r="B36" s="3" t="s">
        <v>265</v>
      </c>
      <c r="C36" s="3" t="s">
        <v>266</v>
      </c>
      <c r="D36" s="4" t="s">
        <v>267</v>
      </c>
      <c r="E36" s="3">
        <v>2025.0</v>
      </c>
      <c r="F36" s="6" t="s">
        <v>260</v>
      </c>
      <c r="G36" s="3" t="s">
        <v>261</v>
      </c>
      <c r="H36" s="3" t="s">
        <v>49</v>
      </c>
      <c r="I36" s="3" t="s">
        <v>24</v>
      </c>
      <c r="J36" s="3" t="s">
        <v>40</v>
      </c>
      <c r="K36" s="3" t="s">
        <v>26</v>
      </c>
      <c r="L36" s="3" t="s">
        <v>173</v>
      </c>
      <c r="M36" s="3">
        <v>516.0</v>
      </c>
      <c r="N36" s="3" t="s">
        <v>241</v>
      </c>
      <c r="O36" s="3" t="s">
        <v>268</v>
      </c>
      <c r="P36" s="3" t="s">
        <v>30</v>
      </c>
      <c r="Q36" s="3" t="s">
        <v>264</v>
      </c>
      <c r="R36" s="7"/>
      <c r="S36" s="7"/>
      <c r="T36" s="7"/>
      <c r="U36" s="7"/>
      <c r="V36" s="7"/>
      <c r="W36" s="7"/>
      <c r="X36" s="7"/>
      <c r="Y36" s="7"/>
      <c r="Z36" s="7"/>
      <c r="AA36" s="7"/>
      <c r="AB36" s="7"/>
      <c r="AC36" s="7"/>
      <c r="AD36" s="7"/>
      <c r="AE36" s="7"/>
    </row>
    <row r="37" ht="22.5" customHeight="1">
      <c r="A37" s="3" t="s">
        <v>269</v>
      </c>
      <c r="B37" s="3" t="s">
        <v>270</v>
      </c>
      <c r="C37" s="3" t="s">
        <v>271</v>
      </c>
      <c r="D37" s="3" t="s">
        <v>105</v>
      </c>
      <c r="E37" s="3">
        <v>2025.0</v>
      </c>
      <c r="F37" s="6" t="s">
        <v>272</v>
      </c>
      <c r="G37" s="3" t="s">
        <v>37</v>
      </c>
      <c r="H37" s="3" t="s">
        <v>49</v>
      </c>
      <c r="I37" s="3" t="s">
        <v>39</v>
      </c>
      <c r="J37" s="3" t="s">
        <v>98</v>
      </c>
      <c r="K37" s="3" t="s">
        <v>99</v>
      </c>
      <c r="L37" s="3" t="s">
        <v>42</v>
      </c>
      <c r="M37" s="3">
        <v>49.0</v>
      </c>
      <c r="N37" s="3" t="s">
        <v>28</v>
      </c>
      <c r="O37" s="3" t="s">
        <v>108</v>
      </c>
      <c r="P37" s="3" t="s">
        <v>30</v>
      </c>
      <c r="Q37" s="3" t="s">
        <v>273</v>
      </c>
      <c r="R37" s="7"/>
      <c r="S37" s="7"/>
      <c r="T37" s="7"/>
      <c r="U37" s="7"/>
      <c r="V37" s="7"/>
      <c r="W37" s="7"/>
      <c r="X37" s="7"/>
      <c r="Y37" s="7"/>
      <c r="Z37" s="7"/>
      <c r="AA37" s="7"/>
      <c r="AB37" s="7"/>
      <c r="AC37" s="7"/>
      <c r="AD37" s="7"/>
      <c r="AE37" s="7"/>
    </row>
    <row r="38" ht="22.5" customHeight="1">
      <c r="A38" s="3" t="s">
        <v>274</v>
      </c>
      <c r="B38" s="3" t="s">
        <v>275</v>
      </c>
      <c r="C38" s="3" t="s">
        <v>276</v>
      </c>
      <c r="D38" s="3" t="s">
        <v>277</v>
      </c>
      <c r="E38" s="3">
        <v>2023.0</v>
      </c>
      <c r="F38" s="6" t="s">
        <v>278</v>
      </c>
      <c r="G38" s="3" t="s">
        <v>203</v>
      </c>
      <c r="H38" s="3" t="s">
        <v>61</v>
      </c>
      <c r="I38" s="3" t="s">
        <v>50</v>
      </c>
      <c r="J38" s="3" t="s">
        <v>25</v>
      </c>
      <c r="K38" s="3" t="s">
        <v>79</v>
      </c>
      <c r="L38" s="3" t="s">
        <v>63</v>
      </c>
      <c r="M38" s="3">
        <v>475382.0</v>
      </c>
      <c r="N38" s="3" t="s">
        <v>28</v>
      </c>
      <c r="O38" s="3" t="s">
        <v>279</v>
      </c>
      <c r="P38" s="3" t="s">
        <v>30</v>
      </c>
      <c r="Q38" s="11" t="s">
        <v>280</v>
      </c>
      <c r="R38" s="7"/>
      <c r="S38" s="7"/>
      <c r="T38" s="7"/>
      <c r="U38" s="7"/>
      <c r="V38" s="7"/>
      <c r="W38" s="7"/>
      <c r="X38" s="7"/>
      <c r="Y38" s="7"/>
      <c r="Z38" s="7"/>
      <c r="AA38" s="7"/>
      <c r="AB38" s="7"/>
      <c r="AC38" s="7"/>
      <c r="AD38" s="7"/>
      <c r="AE38" s="7"/>
    </row>
    <row r="39" ht="22.5" customHeight="1">
      <c r="A39" s="3" t="s">
        <v>281</v>
      </c>
      <c r="B39" s="3" t="s">
        <v>282</v>
      </c>
      <c r="C39" s="3" t="s">
        <v>283</v>
      </c>
      <c r="D39" s="4" t="s">
        <v>284</v>
      </c>
      <c r="E39" s="5">
        <v>2024.0</v>
      </c>
      <c r="F39" s="6" t="s">
        <v>285</v>
      </c>
      <c r="G39" s="3" t="s">
        <v>37</v>
      </c>
      <c r="H39" s="3" t="s">
        <v>38</v>
      </c>
      <c r="I39" s="3" t="s">
        <v>39</v>
      </c>
      <c r="J39" s="3" t="s">
        <v>40</v>
      </c>
      <c r="K39" s="3" t="s">
        <v>79</v>
      </c>
      <c r="L39" s="3" t="s">
        <v>286</v>
      </c>
      <c r="M39" s="3">
        <v>778.0</v>
      </c>
      <c r="N39" s="3" t="s">
        <v>28</v>
      </c>
      <c r="O39" s="3" t="s">
        <v>30</v>
      </c>
      <c r="P39" s="3" t="s">
        <v>30</v>
      </c>
      <c r="Q39" s="3" t="s">
        <v>287</v>
      </c>
      <c r="R39" s="7"/>
      <c r="S39" s="7"/>
      <c r="T39" s="7"/>
      <c r="U39" s="7"/>
      <c r="V39" s="7"/>
      <c r="W39" s="7"/>
      <c r="X39" s="7"/>
      <c r="Y39" s="7"/>
      <c r="Z39" s="7"/>
      <c r="AA39" s="7"/>
      <c r="AB39" s="7"/>
      <c r="AC39" s="7"/>
      <c r="AD39" s="7"/>
      <c r="AE39" s="7"/>
    </row>
    <row r="40" ht="22.5" customHeight="1">
      <c r="A40" s="3" t="s">
        <v>288</v>
      </c>
      <c r="B40" s="3" t="s">
        <v>289</v>
      </c>
      <c r="C40" s="3" t="s">
        <v>290</v>
      </c>
      <c r="D40" s="3" t="s">
        <v>291</v>
      </c>
      <c r="E40" s="3">
        <v>2024.0</v>
      </c>
      <c r="F40" s="6" t="s">
        <v>292</v>
      </c>
      <c r="G40" s="3" t="s">
        <v>293</v>
      </c>
      <c r="H40" s="3" t="s">
        <v>70</v>
      </c>
      <c r="I40" s="3" t="s">
        <v>39</v>
      </c>
      <c r="J40" s="3" t="s">
        <v>40</v>
      </c>
      <c r="K40" s="3" t="s">
        <v>26</v>
      </c>
      <c r="L40" s="3" t="s">
        <v>294</v>
      </c>
      <c r="M40" s="3">
        <v>1293.0</v>
      </c>
      <c r="N40" s="3" t="s">
        <v>28</v>
      </c>
      <c r="O40" s="3" t="s">
        <v>30</v>
      </c>
      <c r="P40" s="3" t="s">
        <v>30</v>
      </c>
      <c r="Q40" s="3" t="s">
        <v>73</v>
      </c>
      <c r="R40" s="7"/>
      <c r="S40" s="7"/>
      <c r="T40" s="7"/>
      <c r="U40" s="7"/>
      <c r="V40" s="7"/>
      <c r="W40" s="7"/>
      <c r="X40" s="7"/>
      <c r="Y40" s="7"/>
      <c r="Z40" s="7"/>
      <c r="AA40" s="7"/>
      <c r="AB40" s="7"/>
      <c r="AC40" s="7"/>
      <c r="AD40" s="7"/>
      <c r="AE40" s="7"/>
    </row>
    <row r="41" ht="22.5" customHeight="1">
      <c r="A41" s="3" t="s">
        <v>295</v>
      </c>
      <c r="B41" s="3" t="s">
        <v>296</v>
      </c>
      <c r="C41" s="3" t="s">
        <v>297</v>
      </c>
      <c r="D41" s="3" t="s">
        <v>95</v>
      </c>
      <c r="E41" s="3">
        <v>2023.0</v>
      </c>
      <c r="F41" s="6" t="s">
        <v>96</v>
      </c>
      <c r="G41" s="3" t="s">
        <v>37</v>
      </c>
      <c r="H41" s="3" t="s">
        <v>49</v>
      </c>
      <c r="I41" s="3" t="s">
        <v>39</v>
      </c>
      <c r="J41" s="3" t="s">
        <v>98</v>
      </c>
      <c r="K41" s="3" t="s">
        <v>99</v>
      </c>
      <c r="L41" s="3" t="s">
        <v>204</v>
      </c>
      <c r="M41" s="3">
        <v>6786.0</v>
      </c>
      <c r="N41" s="3" t="s">
        <v>28</v>
      </c>
      <c r="O41" s="3" t="s">
        <v>100</v>
      </c>
      <c r="P41" s="3" t="s">
        <v>30</v>
      </c>
      <c r="Q41" s="3" t="s">
        <v>101</v>
      </c>
      <c r="R41" s="7"/>
      <c r="S41" s="7"/>
      <c r="T41" s="7"/>
      <c r="U41" s="7"/>
      <c r="V41" s="7"/>
      <c r="W41" s="7"/>
      <c r="X41" s="7"/>
      <c r="Y41" s="7"/>
      <c r="Z41" s="7"/>
      <c r="AA41" s="7"/>
      <c r="AB41" s="7"/>
      <c r="AC41" s="7"/>
      <c r="AD41" s="7"/>
      <c r="AE41" s="7"/>
    </row>
    <row r="42" ht="22.5" customHeight="1">
      <c r="A42" s="3" t="s">
        <v>298</v>
      </c>
      <c r="B42" s="3" t="s">
        <v>299</v>
      </c>
      <c r="C42" s="3" t="s">
        <v>300</v>
      </c>
      <c r="D42" s="4" t="s">
        <v>301</v>
      </c>
      <c r="E42" s="3">
        <v>2023.0</v>
      </c>
      <c r="F42" s="4" t="s">
        <v>302</v>
      </c>
      <c r="G42" s="3" t="s">
        <v>37</v>
      </c>
      <c r="H42" s="3" t="s">
        <v>61</v>
      </c>
      <c r="I42" s="3" t="s">
        <v>24</v>
      </c>
      <c r="J42" s="3" t="s">
        <v>25</v>
      </c>
      <c r="K42" s="3" t="s">
        <v>26</v>
      </c>
      <c r="L42" s="3" t="s">
        <v>303</v>
      </c>
      <c r="M42" s="3">
        <v>500.0</v>
      </c>
      <c r="N42" s="3" t="s">
        <v>28</v>
      </c>
      <c r="O42" s="3" t="s">
        <v>304</v>
      </c>
      <c r="P42" s="3" t="s">
        <v>30</v>
      </c>
      <c r="Q42" s="3" t="s">
        <v>305</v>
      </c>
      <c r="R42" s="7"/>
      <c r="S42" s="7"/>
      <c r="T42" s="7"/>
      <c r="U42" s="7"/>
      <c r="V42" s="7"/>
      <c r="W42" s="7"/>
      <c r="X42" s="7"/>
      <c r="Y42" s="7"/>
      <c r="Z42" s="7"/>
      <c r="AA42" s="7"/>
      <c r="AB42" s="7"/>
      <c r="AC42" s="7"/>
      <c r="AD42" s="7"/>
      <c r="AE42" s="7"/>
    </row>
    <row r="43" ht="22.5" customHeight="1">
      <c r="A43" s="3" t="s">
        <v>306</v>
      </c>
      <c r="B43" s="3" t="s">
        <v>307</v>
      </c>
      <c r="C43" s="3" t="s">
        <v>308</v>
      </c>
      <c r="D43" s="4" t="s">
        <v>309</v>
      </c>
      <c r="E43" s="3">
        <v>2022.0</v>
      </c>
      <c r="F43" s="6" t="s">
        <v>310</v>
      </c>
      <c r="G43" s="3" t="s">
        <v>311</v>
      </c>
      <c r="H43" s="3" t="s">
        <v>49</v>
      </c>
      <c r="I43" s="3" t="s">
        <v>50</v>
      </c>
      <c r="J43" s="3" t="s">
        <v>40</v>
      </c>
      <c r="K43" s="3" t="s">
        <v>79</v>
      </c>
      <c r="L43" s="3" t="s">
        <v>312</v>
      </c>
      <c r="M43" s="3">
        <v>69487.0</v>
      </c>
      <c r="N43" s="3" t="s">
        <v>28</v>
      </c>
      <c r="O43" s="3" t="s">
        <v>313</v>
      </c>
      <c r="P43" s="3" t="s">
        <v>30</v>
      </c>
      <c r="Q43" s="3" t="s">
        <v>314</v>
      </c>
      <c r="R43" s="7"/>
      <c r="S43" s="7"/>
      <c r="T43" s="7"/>
      <c r="U43" s="7"/>
      <c r="V43" s="7"/>
      <c r="W43" s="7"/>
      <c r="X43" s="7"/>
      <c r="Y43" s="7"/>
      <c r="Z43" s="7"/>
      <c r="AA43" s="7"/>
      <c r="AB43" s="7"/>
      <c r="AC43" s="7"/>
      <c r="AD43" s="7"/>
      <c r="AE43" s="7"/>
    </row>
    <row r="44" ht="22.5" customHeight="1">
      <c r="A44" s="3" t="s">
        <v>315</v>
      </c>
      <c r="B44" s="3" t="s">
        <v>316</v>
      </c>
      <c r="C44" s="3" t="s">
        <v>317</v>
      </c>
      <c r="D44" s="3" t="s">
        <v>318</v>
      </c>
      <c r="E44" s="3">
        <v>2016.0</v>
      </c>
      <c r="F44" s="4" t="s">
        <v>319</v>
      </c>
      <c r="G44" s="3" t="s">
        <v>22</v>
      </c>
      <c r="H44" s="3" t="s">
        <v>49</v>
      </c>
      <c r="I44" s="3" t="s">
        <v>24</v>
      </c>
      <c r="J44" s="3" t="s">
        <v>40</v>
      </c>
      <c r="K44" s="3" t="s">
        <v>26</v>
      </c>
      <c r="L44" s="3" t="s">
        <v>320</v>
      </c>
      <c r="M44" s="3">
        <v>625.0</v>
      </c>
      <c r="N44" s="3" t="s">
        <v>28</v>
      </c>
      <c r="O44" s="3" t="s">
        <v>321</v>
      </c>
      <c r="P44" s="3" t="s">
        <v>30</v>
      </c>
      <c r="Q44" s="3" t="s">
        <v>322</v>
      </c>
      <c r="R44" s="7"/>
      <c r="S44" s="7"/>
      <c r="T44" s="7"/>
      <c r="U44" s="7"/>
      <c r="V44" s="7"/>
      <c r="W44" s="7"/>
      <c r="X44" s="7"/>
      <c r="Y44" s="7"/>
      <c r="Z44" s="7"/>
      <c r="AA44" s="7"/>
      <c r="AB44" s="7"/>
      <c r="AC44" s="7"/>
      <c r="AD44" s="7"/>
      <c r="AE44" s="7"/>
    </row>
    <row r="45" ht="22.5" customHeight="1">
      <c r="A45" s="3" t="s">
        <v>323</v>
      </c>
      <c r="B45" s="3" t="s">
        <v>324</v>
      </c>
      <c r="C45" s="3" t="s">
        <v>325</v>
      </c>
      <c r="D45" s="3" t="s">
        <v>326</v>
      </c>
      <c r="E45" s="3">
        <v>2019.0</v>
      </c>
      <c r="F45" s="6" t="s">
        <v>327</v>
      </c>
      <c r="G45" s="3" t="s">
        <v>37</v>
      </c>
      <c r="H45" s="3" t="s">
        <v>49</v>
      </c>
      <c r="I45" s="3" t="s">
        <v>24</v>
      </c>
      <c r="J45" s="3" t="s">
        <v>40</v>
      </c>
      <c r="K45" s="3" t="s">
        <v>26</v>
      </c>
      <c r="L45" s="3" t="s">
        <v>320</v>
      </c>
      <c r="M45" s="3">
        <v>969.0</v>
      </c>
      <c r="N45" s="3" t="s">
        <v>28</v>
      </c>
      <c r="O45" s="3" t="s">
        <v>321</v>
      </c>
      <c r="P45" s="3" t="s">
        <v>315</v>
      </c>
      <c r="Q45" s="3" t="s">
        <v>328</v>
      </c>
      <c r="R45" s="7"/>
      <c r="S45" s="7"/>
      <c r="T45" s="7"/>
      <c r="U45" s="7"/>
      <c r="V45" s="7"/>
      <c r="W45" s="7"/>
      <c r="X45" s="7"/>
      <c r="Y45" s="7"/>
      <c r="Z45" s="7"/>
      <c r="AA45" s="7"/>
      <c r="AB45" s="7"/>
      <c r="AC45" s="7"/>
      <c r="AD45" s="7"/>
      <c r="AE45" s="7"/>
    </row>
    <row r="46" ht="22.5" customHeight="1">
      <c r="A46" s="3" t="s">
        <v>329</v>
      </c>
      <c r="B46" s="3" t="s">
        <v>330</v>
      </c>
      <c r="C46" s="3" t="s">
        <v>331</v>
      </c>
      <c r="D46" s="3" t="s">
        <v>332</v>
      </c>
      <c r="E46" s="3">
        <v>2025.0</v>
      </c>
      <c r="F46" s="6" t="s">
        <v>327</v>
      </c>
      <c r="G46" s="3" t="s">
        <v>22</v>
      </c>
      <c r="H46" s="3" t="s">
        <v>49</v>
      </c>
      <c r="I46" s="3" t="s">
        <v>24</v>
      </c>
      <c r="J46" s="3" t="s">
        <v>40</v>
      </c>
      <c r="K46" s="3" t="s">
        <v>26</v>
      </c>
      <c r="L46" s="3" t="s">
        <v>320</v>
      </c>
      <c r="M46" s="3">
        <v>803.0</v>
      </c>
      <c r="N46" s="3" t="s">
        <v>28</v>
      </c>
      <c r="O46" s="3" t="s">
        <v>333</v>
      </c>
      <c r="P46" s="3" t="s">
        <v>323</v>
      </c>
      <c r="Q46" s="3" t="s">
        <v>334</v>
      </c>
      <c r="R46" s="7"/>
      <c r="S46" s="7"/>
      <c r="T46" s="7"/>
      <c r="U46" s="7"/>
      <c r="V46" s="7"/>
      <c r="W46" s="7"/>
      <c r="X46" s="7"/>
      <c r="Y46" s="7"/>
      <c r="Z46" s="7"/>
      <c r="AA46" s="7"/>
      <c r="AB46" s="7"/>
      <c r="AC46" s="7"/>
      <c r="AD46" s="7"/>
      <c r="AE46" s="7"/>
    </row>
    <row r="47" ht="22.5" customHeight="1">
      <c r="A47" s="3" t="s">
        <v>81</v>
      </c>
      <c r="B47" s="3" t="s">
        <v>335</v>
      </c>
      <c r="C47" s="3" t="s">
        <v>336</v>
      </c>
      <c r="D47" s="3" t="s">
        <v>337</v>
      </c>
      <c r="E47" s="3">
        <v>2018.0</v>
      </c>
      <c r="F47" s="6" t="s">
        <v>338</v>
      </c>
      <c r="G47" s="3" t="s">
        <v>22</v>
      </c>
      <c r="H47" s="3" t="s">
        <v>49</v>
      </c>
      <c r="I47" s="3" t="s">
        <v>39</v>
      </c>
      <c r="J47" s="3" t="s">
        <v>98</v>
      </c>
      <c r="K47" s="3" t="s">
        <v>99</v>
      </c>
      <c r="L47" s="3" t="s">
        <v>339</v>
      </c>
      <c r="M47" s="3">
        <v>34268.0</v>
      </c>
      <c r="N47" s="3" t="s">
        <v>28</v>
      </c>
      <c r="O47" s="3" t="s">
        <v>30</v>
      </c>
      <c r="P47" s="3" t="s">
        <v>30</v>
      </c>
      <c r="Q47" s="3" t="s">
        <v>340</v>
      </c>
      <c r="R47" s="7"/>
      <c r="S47" s="7"/>
      <c r="T47" s="7"/>
      <c r="U47" s="7"/>
      <c r="V47" s="7"/>
      <c r="W47" s="7"/>
      <c r="X47" s="7"/>
      <c r="Y47" s="7"/>
      <c r="Z47" s="7"/>
      <c r="AA47" s="7"/>
      <c r="AB47" s="7"/>
      <c r="AC47" s="7"/>
      <c r="AD47" s="7"/>
      <c r="AE47" s="7"/>
    </row>
    <row r="48" ht="22.5" customHeight="1">
      <c r="A48" s="3" t="s">
        <v>341</v>
      </c>
      <c r="B48" s="3" t="s">
        <v>342</v>
      </c>
      <c r="C48" s="3" t="s">
        <v>343</v>
      </c>
      <c r="D48" s="3" t="s">
        <v>95</v>
      </c>
      <c r="E48" s="3">
        <v>2023.0</v>
      </c>
      <c r="F48" s="6" t="s">
        <v>96</v>
      </c>
      <c r="G48" s="3" t="s">
        <v>37</v>
      </c>
      <c r="H48" s="3" t="s">
        <v>49</v>
      </c>
      <c r="I48" s="3" t="s">
        <v>39</v>
      </c>
      <c r="J48" s="3" t="s">
        <v>98</v>
      </c>
      <c r="K48" s="3" t="s">
        <v>99</v>
      </c>
      <c r="L48" s="3" t="s">
        <v>339</v>
      </c>
      <c r="M48" s="3">
        <v>2211.0</v>
      </c>
      <c r="N48" s="3" t="s">
        <v>28</v>
      </c>
      <c r="O48" s="3" t="s">
        <v>100</v>
      </c>
      <c r="P48" s="3" t="s">
        <v>341</v>
      </c>
      <c r="Q48" s="3" t="s">
        <v>101</v>
      </c>
      <c r="R48" s="7"/>
      <c r="S48" s="7"/>
      <c r="T48" s="7"/>
      <c r="U48" s="7"/>
      <c r="V48" s="7"/>
      <c r="W48" s="7"/>
      <c r="X48" s="7"/>
      <c r="Y48" s="7"/>
      <c r="Z48" s="7"/>
      <c r="AA48" s="7"/>
      <c r="AB48" s="7"/>
      <c r="AC48" s="7"/>
      <c r="AD48" s="7"/>
      <c r="AE48" s="7"/>
    </row>
    <row r="49" ht="22.5" customHeight="1">
      <c r="A49" s="3" t="s">
        <v>344</v>
      </c>
      <c r="B49" s="3" t="s">
        <v>345</v>
      </c>
      <c r="C49" s="3" t="s">
        <v>346</v>
      </c>
      <c r="D49" s="4" t="s">
        <v>347</v>
      </c>
      <c r="E49" s="3">
        <v>2024.0</v>
      </c>
      <c r="F49" s="4" t="s">
        <v>348</v>
      </c>
      <c r="G49" s="3" t="s">
        <v>60</v>
      </c>
      <c r="H49" s="3" t="s">
        <v>49</v>
      </c>
      <c r="I49" s="3" t="s">
        <v>24</v>
      </c>
      <c r="J49" s="3" t="s">
        <v>51</v>
      </c>
      <c r="K49" s="3" t="s">
        <v>89</v>
      </c>
      <c r="L49" s="3" t="s">
        <v>173</v>
      </c>
      <c r="M49" s="3">
        <v>1306.0</v>
      </c>
      <c r="N49" s="3" t="s">
        <v>28</v>
      </c>
      <c r="O49" s="3" t="s">
        <v>30</v>
      </c>
      <c r="P49" s="3" t="s">
        <v>81</v>
      </c>
      <c r="Q49" s="3" t="s">
        <v>349</v>
      </c>
      <c r="R49" s="7"/>
      <c r="S49" s="7"/>
      <c r="T49" s="7"/>
      <c r="U49" s="7"/>
      <c r="V49" s="7"/>
      <c r="W49" s="7"/>
      <c r="X49" s="7"/>
      <c r="Y49" s="7"/>
      <c r="Z49" s="7"/>
      <c r="AA49" s="7"/>
      <c r="AB49" s="7"/>
      <c r="AC49" s="7"/>
      <c r="AD49" s="7"/>
      <c r="AE49" s="7"/>
    </row>
    <row r="50" ht="22.5" customHeight="1">
      <c r="A50" s="3" t="s">
        <v>350</v>
      </c>
      <c r="B50" s="3" t="s">
        <v>351</v>
      </c>
      <c r="C50" s="3" t="s">
        <v>352</v>
      </c>
      <c r="D50" s="3" t="s">
        <v>353</v>
      </c>
      <c r="E50" s="3">
        <v>2019.0</v>
      </c>
      <c r="F50" s="6" t="s">
        <v>354</v>
      </c>
      <c r="G50" s="3" t="s">
        <v>37</v>
      </c>
      <c r="H50" s="3" t="s">
        <v>49</v>
      </c>
      <c r="I50" s="3" t="s">
        <v>24</v>
      </c>
      <c r="J50" s="3" t="s">
        <v>98</v>
      </c>
      <c r="K50" s="3" t="s">
        <v>26</v>
      </c>
      <c r="L50" s="3" t="s">
        <v>320</v>
      </c>
      <c r="M50" s="3">
        <v>1501.0</v>
      </c>
      <c r="N50" s="3" t="s">
        <v>28</v>
      </c>
      <c r="O50" s="3" t="s">
        <v>355</v>
      </c>
      <c r="P50" s="3" t="s">
        <v>356</v>
      </c>
      <c r="Q50" s="3" t="s">
        <v>357</v>
      </c>
      <c r="R50" s="7"/>
      <c r="S50" s="7"/>
      <c r="T50" s="7"/>
      <c r="U50" s="7"/>
      <c r="V50" s="7"/>
      <c r="W50" s="7"/>
      <c r="X50" s="7"/>
      <c r="Y50" s="7"/>
      <c r="Z50" s="7"/>
      <c r="AA50" s="7"/>
      <c r="AB50" s="7"/>
      <c r="AC50" s="7"/>
      <c r="AD50" s="7"/>
      <c r="AE50" s="7"/>
    </row>
    <row r="51" ht="22.5" customHeight="1">
      <c r="A51" s="3" t="s">
        <v>358</v>
      </c>
      <c r="B51" s="3" t="s">
        <v>359</v>
      </c>
      <c r="C51" s="3" t="s">
        <v>360</v>
      </c>
      <c r="D51" s="3" t="s">
        <v>361</v>
      </c>
      <c r="E51" s="3">
        <v>2021.0</v>
      </c>
      <c r="F51" s="6" t="s">
        <v>362</v>
      </c>
      <c r="G51" s="3" t="s">
        <v>60</v>
      </c>
      <c r="H51" s="3" t="s">
        <v>49</v>
      </c>
      <c r="I51" s="3" t="s">
        <v>62</v>
      </c>
      <c r="J51" s="3" t="s">
        <v>40</v>
      </c>
      <c r="K51" s="3" t="s">
        <v>26</v>
      </c>
      <c r="L51" s="3" t="s">
        <v>363</v>
      </c>
      <c r="M51" s="3">
        <v>200.0</v>
      </c>
      <c r="N51" s="3" t="s">
        <v>28</v>
      </c>
      <c r="O51" s="3" t="s">
        <v>364</v>
      </c>
      <c r="P51" s="3" t="s">
        <v>30</v>
      </c>
      <c r="Q51" s="3" t="s">
        <v>365</v>
      </c>
      <c r="R51" s="7"/>
      <c r="S51" s="7"/>
      <c r="T51" s="7"/>
      <c r="U51" s="7"/>
      <c r="V51" s="7"/>
      <c r="W51" s="7"/>
      <c r="X51" s="7"/>
      <c r="Y51" s="7"/>
      <c r="Z51" s="7"/>
      <c r="AA51" s="7"/>
      <c r="AB51" s="7"/>
      <c r="AC51" s="7"/>
      <c r="AD51" s="7"/>
      <c r="AE51" s="7"/>
    </row>
    <row r="52" ht="22.5" customHeight="1">
      <c r="A52" s="3" t="s">
        <v>366</v>
      </c>
      <c r="B52" s="3" t="s">
        <v>367</v>
      </c>
      <c r="C52" s="3" t="s">
        <v>368</v>
      </c>
      <c r="D52" s="4" t="s">
        <v>369</v>
      </c>
      <c r="E52" s="5">
        <v>2019.0</v>
      </c>
      <c r="F52" s="4" t="s">
        <v>370</v>
      </c>
      <c r="G52" s="3" t="s">
        <v>22</v>
      </c>
      <c r="H52" s="3" t="s">
        <v>49</v>
      </c>
      <c r="I52" s="3" t="s">
        <v>24</v>
      </c>
      <c r="J52" s="3" t="s">
        <v>40</v>
      </c>
      <c r="K52" s="3" t="s">
        <v>26</v>
      </c>
      <c r="L52" s="3" t="s">
        <v>27</v>
      </c>
      <c r="M52" s="3">
        <v>817.0</v>
      </c>
      <c r="N52" s="3" t="s">
        <v>28</v>
      </c>
      <c r="O52" s="3" t="s">
        <v>371</v>
      </c>
      <c r="P52" s="3" t="s">
        <v>30</v>
      </c>
      <c r="Q52" s="3" t="s">
        <v>372</v>
      </c>
      <c r="R52" s="7"/>
      <c r="S52" s="7"/>
      <c r="T52" s="7"/>
      <c r="U52" s="7"/>
      <c r="V52" s="7"/>
      <c r="W52" s="7"/>
      <c r="X52" s="7"/>
      <c r="Y52" s="7"/>
      <c r="Z52" s="7"/>
      <c r="AA52" s="7"/>
      <c r="AB52" s="7"/>
      <c r="AC52" s="7"/>
      <c r="AD52" s="7"/>
      <c r="AE52" s="7"/>
    </row>
    <row r="53" ht="22.5" customHeight="1">
      <c r="A53" s="3" t="s">
        <v>373</v>
      </c>
      <c r="B53" s="3" t="s">
        <v>374</v>
      </c>
      <c r="C53" s="3" t="s">
        <v>375</v>
      </c>
      <c r="D53" s="3" t="s">
        <v>95</v>
      </c>
      <c r="E53" s="3">
        <v>2023.0</v>
      </c>
      <c r="F53" s="6" t="s">
        <v>96</v>
      </c>
      <c r="G53" s="3" t="s">
        <v>37</v>
      </c>
      <c r="H53" s="3" t="s">
        <v>97</v>
      </c>
      <c r="I53" s="3" t="s">
        <v>39</v>
      </c>
      <c r="J53" s="3" t="s">
        <v>98</v>
      </c>
      <c r="K53" s="3" t="s">
        <v>99</v>
      </c>
      <c r="L53" s="3" t="s">
        <v>27</v>
      </c>
      <c r="M53" s="3">
        <v>4329.0</v>
      </c>
      <c r="N53" s="3" t="s">
        <v>28</v>
      </c>
      <c r="O53" s="3" t="s">
        <v>100</v>
      </c>
      <c r="P53" s="3" t="s">
        <v>30</v>
      </c>
      <c r="Q53" s="3" t="s">
        <v>101</v>
      </c>
      <c r="R53" s="7"/>
      <c r="S53" s="7"/>
      <c r="T53" s="7"/>
      <c r="U53" s="7"/>
      <c r="V53" s="7"/>
      <c r="W53" s="7"/>
      <c r="X53" s="7"/>
      <c r="Y53" s="7"/>
      <c r="Z53" s="7"/>
      <c r="AA53" s="7"/>
      <c r="AB53" s="7"/>
      <c r="AC53" s="7"/>
      <c r="AD53" s="7"/>
      <c r="AE53" s="7"/>
    </row>
    <row r="54" ht="22.5" customHeight="1">
      <c r="A54" s="3" t="s">
        <v>376</v>
      </c>
      <c r="B54" s="3" t="s">
        <v>377</v>
      </c>
      <c r="C54" s="5" t="s">
        <v>378</v>
      </c>
      <c r="D54" s="6" t="s">
        <v>379</v>
      </c>
      <c r="E54" s="3">
        <v>2024.0</v>
      </c>
      <c r="F54" s="6" t="s">
        <v>380</v>
      </c>
      <c r="G54" s="3" t="s">
        <v>22</v>
      </c>
      <c r="H54" s="3" t="s">
        <v>49</v>
      </c>
      <c r="I54" s="3" t="s">
        <v>39</v>
      </c>
      <c r="J54" s="3" t="s">
        <v>98</v>
      </c>
      <c r="K54" s="3" t="s">
        <v>99</v>
      </c>
      <c r="L54" s="3" t="s">
        <v>320</v>
      </c>
      <c r="M54" s="3">
        <v>136.0</v>
      </c>
      <c r="N54" s="3" t="s">
        <v>28</v>
      </c>
      <c r="O54" s="3" t="s">
        <v>381</v>
      </c>
      <c r="P54" s="3" t="s">
        <v>382</v>
      </c>
      <c r="Q54" s="3" t="s">
        <v>127</v>
      </c>
      <c r="R54" s="7"/>
      <c r="S54" s="7"/>
      <c r="T54" s="7"/>
      <c r="U54" s="7"/>
      <c r="V54" s="7"/>
      <c r="W54" s="7"/>
      <c r="X54" s="7"/>
      <c r="Y54" s="7"/>
      <c r="Z54" s="7"/>
      <c r="AA54" s="7"/>
      <c r="AB54" s="7"/>
      <c r="AC54" s="7"/>
      <c r="AD54" s="7"/>
      <c r="AE54" s="7"/>
    </row>
    <row r="55" ht="22.5" customHeight="1">
      <c r="A55" s="3" t="s">
        <v>383</v>
      </c>
      <c r="B55" s="3" t="s">
        <v>384</v>
      </c>
      <c r="C55" s="5" t="s">
        <v>385</v>
      </c>
      <c r="D55" s="4" t="s">
        <v>386</v>
      </c>
      <c r="E55" s="5">
        <v>2024.0</v>
      </c>
      <c r="F55" s="6" t="s">
        <v>380</v>
      </c>
      <c r="G55" s="3" t="s">
        <v>22</v>
      </c>
      <c r="H55" s="3" t="s">
        <v>49</v>
      </c>
      <c r="I55" s="3" t="s">
        <v>24</v>
      </c>
      <c r="J55" s="3" t="s">
        <v>40</v>
      </c>
      <c r="K55" s="3" t="s">
        <v>26</v>
      </c>
      <c r="L55" s="3" t="s">
        <v>320</v>
      </c>
      <c r="M55" s="3">
        <v>131.0</v>
      </c>
      <c r="N55" s="3" t="s">
        <v>28</v>
      </c>
      <c r="O55" s="3" t="s">
        <v>387</v>
      </c>
      <c r="P55" s="3" t="s">
        <v>30</v>
      </c>
      <c r="Q55" s="3" t="s">
        <v>127</v>
      </c>
      <c r="R55" s="7"/>
      <c r="S55" s="7"/>
      <c r="T55" s="7"/>
      <c r="U55" s="7"/>
      <c r="V55" s="7"/>
      <c r="W55" s="7"/>
      <c r="X55" s="7"/>
      <c r="Y55" s="7"/>
      <c r="Z55" s="7"/>
      <c r="AA55" s="7"/>
      <c r="AB55" s="7"/>
      <c r="AC55" s="7"/>
      <c r="AD55" s="7"/>
      <c r="AE55" s="7"/>
    </row>
    <row r="56" ht="22.5" customHeight="1">
      <c r="A56" s="3" t="s">
        <v>388</v>
      </c>
      <c r="B56" s="3" t="s">
        <v>389</v>
      </c>
      <c r="C56" s="3" t="s">
        <v>390</v>
      </c>
      <c r="D56" s="3" t="s">
        <v>95</v>
      </c>
      <c r="E56" s="3">
        <v>2023.0</v>
      </c>
      <c r="F56" s="6" t="s">
        <v>96</v>
      </c>
      <c r="G56" s="3" t="s">
        <v>37</v>
      </c>
      <c r="H56" s="3" t="s">
        <v>49</v>
      </c>
      <c r="I56" s="3" t="s">
        <v>39</v>
      </c>
      <c r="J56" s="3" t="s">
        <v>98</v>
      </c>
      <c r="K56" s="3" t="s">
        <v>99</v>
      </c>
      <c r="L56" s="3" t="s">
        <v>42</v>
      </c>
      <c r="M56" s="3">
        <v>6670.0</v>
      </c>
      <c r="N56" s="3" t="s">
        <v>28</v>
      </c>
      <c r="O56" s="3" t="s">
        <v>100</v>
      </c>
      <c r="P56" s="3" t="s">
        <v>30</v>
      </c>
      <c r="Q56" s="3" t="s">
        <v>101</v>
      </c>
      <c r="R56" s="7"/>
      <c r="S56" s="7"/>
      <c r="T56" s="7"/>
      <c r="U56" s="7"/>
      <c r="V56" s="7"/>
      <c r="W56" s="7"/>
      <c r="X56" s="7"/>
      <c r="Y56" s="7"/>
      <c r="Z56" s="7"/>
      <c r="AA56" s="7"/>
      <c r="AB56" s="7"/>
      <c r="AC56" s="7"/>
      <c r="AD56" s="7"/>
      <c r="AE56" s="7"/>
    </row>
    <row r="57" ht="22.5" customHeight="1">
      <c r="A57" s="3" t="s">
        <v>391</v>
      </c>
      <c r="B57" s="3" t="s">
        <v>392</v>
      </c>
      <c r="C57" s="3" t="s">
        <v>393</v>
      </c>
      <c r="D57" s="4" t="s">
        <v>394</v>
      </c>
      <c r="E57" s="5">
        <v>2019.0</v>
      </c>
      <c r="F57" s="4" t="s">
        <v>395</v>
      </c>
      <c r="G57" s="3" t="s">
        <v>37</v>
      </c>
      <c r="H57" s="3" t="s">
        <v>70</v>
      </c>
      <c r="I57" s="3" t="s">
        <v>62</v>
      </c>
      <c r="J57" s="3" t="s">
        <v>40</v>
      </c>
      <c r="K57" s="3" t="s">
        <v>26</v>
      </c>
      <c r="L57" s="3" t="s">
        <v>27</v>
      </c>
      <c r="M57" s="3">
        <v>12011.0</v>
      </c>
      <c r="N57" s="3" t="s">
        <v>28</v>
      </c>
      <c r="O57" s="3" t="s">
        <v>396</v>
      </c>
      <c r="P57" s="3" t="s">
        <v>30</v>
      </c>
      <c r="Q57" s="3" t="s">
        <v>251</v>
      </c>
      <c r="R57" s="7"/>
      <c r="S57" s="7"/>
      <c r="T57" s="7"/>
      <c r="U57" s="7"/>
      <c r="V57" s="7"/>
      <c r="W57" s="7"/>
      <c r="X57" s="7"/>
      <c r="Y57" s="7"/>
      <c r="Z57" s="7"/>
      <c r="AA57" s="7"/>
      <c r="AB57" s="7"/>
      <c r="AC57" s="7"/>
      <c r="AD57" s="7"/>
      <c r="AE57" s="7"/>
    </row>
    <row r="58" ht="22.5" customHeight="1">
      <c r="A58" s="3" t="s">
        <v>397</v>
      </c>
      <c r="B58" s="3" t="s">
        <v>398</v>
      </c>
      <c r="C58" s="3" t="s">
        <v>399</v>
      </c>
      <c r="D58" s="3" t="s">
        <v>105</v>
      </c>
      <c r="E58" s="3">
        <v>2025.0</v>
      </c>
      <c r="F58" s="6" t="s">
        <v>400</v>
      </c>
      <c r="G58" s="3" t="s">
        <v>37</v>
      </c>
      <c r="H58" s="3" t="s">
        <v>49</v>
      </c>
      <c r="I58" s="3" t="s">
        <v>39</v>
      </c>
      <c r="J58" s="3" t="s">
        <v>98</v>
      </c>
      <c r="K58" s="3" t="s">
        <v>99</v>
      </c>
      <c r="L58" s="3" t="s">
        <v>27</v>
      </c>
      <c r="M58" s="3">
        <v>256.0</v>
      </c>
      <c r="N58" s="3" t="s">
        <v>28</v>
      </c>
      <c r="O58" s="3" t="s">
        <v>108</v>
      </c>
      <c r="P58" s="3" t="s">
        <v>30</v>
      </c>
      <c r="Q58" s="3" t="s">
        <v>109</v>
      </c>
      <c r="R58" s="7"/>
      <c r="S58" s="7"/>
      <c r="T58" s="7"/>
      <c r="U58" s="7"/>
      <c r="V58" s="7"/>
      <c r="W58" s="7"/>
      <c r="X58" s="7"/>
      <c r="Y58" s="7"/>
      <c r="Z58" s="7"/>
      <c r="AA58" s="7"/>
      <c r="AB58" s="7"/>
      <c r="AC58" s="7"/>
      <c r="AD58" s="7"/>
      <c r="AE58" s="7"/>
    </row>
    <row r="59" ht="22.5" customHeight="1">
      <c r="A59" s="3" t="s">
        <v>401</v>
      </c>
      <c r="B59" s="3" t="s">
        <v>402</v>
      </c>
      <c r="C59" s="3" t="s">
        <v>403</v>
      </c>
      <c r="D59" s="3" t="s">
        <v>404</v>
      </c>
      <c r="E59" s="3">
        <v>2023.0</v>
      </c>
      <c r="F59" s="6" t="s">
        <v>405</v>
      </c>
      <c r="G59" s="3" t="s">
        <v>311</v>
      </c>
      <c r="H59" s="3" t="s">
        <v>61</v>
      </c>
      <c r="I59" s="3" t="s">
        <v>62</v>
      </c>
      <c r="J59" s="3" t="s">
        <v>40</v>
      </c>
      <c r="K59" s="3" t="s">
        <v>26</v>
      </c>
      <c r="L59" s="3" t="s">
        <v>27</v>
      </c>
      <c r="M59" s="3">
        <v>6003.0</v>
      </c>
      <c r="N59" s="3" t="s">
        <v>406</v>
      </c>
      <c r="O59" s="3" t="s">
        <v>30</v>
      </c>
      <c r="P59" s="3" t="s">
        <v>30</v>
      </c>
      <c r="Q59" s="3" t="s">
        <v>407</v>
      </c>
      <c r="R59" s="7"/>
      <c r="S59" s="7"/>
      <c r="T59" s="7"/>
      <c r="U59" s="7"/>
      <c r="V59" s="7"/>
      <c r="W59" s="7"/>
      <c r="X59" s="7"/>
      <c r="Y59" s="7"/>
      <c r="Z59" s="7"/>
      <c r="AA59" s="7"/>
      <c r="AB59" s="7"/>
      <c r="AC59" s="7"/>
      <c r="AD59" s="7"/>
      <c r="AE59" s="7"/>
    </row>
    <row r="60" ht="22.5" customHeight="1">
      <c r="A60" s="3" t="s">
        <v>408</v>
      </c>
      <c r="B60" s="3" t="s">
        <v>409</v>
      </c>
      <c r="C60" s="3" t="s">
        <v>410</v>
      </c>
      <c r="D60" s="3" t="s">
        <v>95</v>
      </c>
      <c r="E60" s="3">
        <v>2023.0</v>
      </c>
      <c r="F60" s="6" t="s">
        <v>96</v>
      </c>
      <c r="G60" s="3" t="s">
        <v>37</v>
      </c>
      <c r="H60" s="3" t="s">
        <v>49</v>
      </c>
      <c r="I60" s="3" t="s">
        <v>39</v>
      </c>
      <c r="J60" s="3" t="s">
        <v>98</v>
      </c>
      <c r="K60" s="3" t="s">
        <v>99</v>
      </c>
      <c r="L60" s="3" t="s">
        <v>107</v>
      </c>
      <c r="M60" s="3">
        <v>10878.0</v>
      </c>
      <c r="N60" s="3" t="s">
        <v>28</v>
      </c>
      <c r="O60" s="3" t="s">
        <v>100</v>
      </c>
      <c r="P60" s="3" t="s">
        <v>65</v>
      </c>
      <c r="Q60" s="3" t="s">
        <v>101</v>
      </c>
      <c r="R60" s="7"/>
      <c r="S60" s="7"/>
      <c r="T60" s="7"/>
      <c r="U60" s="7"/>
      <c r="V60" s="7"/>
      <c r="W60" s="7"/>
      <c r="X60" s="7"/>
      <c r="Y60" s="7"/>
      <c r="Z60" s="7"/>
      <c r="AA60" s="7"/>
      <c r="AB60" s="7"/>
      <c r="AC60" s="7"/>
      <c r="AD60" s="7"/>
      <c r="AE60" s="7"/>
    </row>
    <row r="61" ht="22.5" customHeight="1">
      <c r="A61" s="3" t="s">
        <v>411</v>
      </c>
      <c r="B61" s="3" t="s">
        <v>412</v>
      </c>
      <c r="C61" s="3" t="s">
        <v>413</v>
      </c>
      <c r="D61" s="4" t="s">
        <v>414</v>
      </c>
      <c r="E61" s="5">
        <v>2024.0</v>
      </c>
      <c r="F61" s="4" t="s">
        <v>415</v>
      </c>
      <c r="G61" s="3" t="s">
        <v>37</v>
      </c>
      <c r="H61" s="3" t="s">
        <v>49</v>
      </c>
      <c r="I61" s="3" t="s">
        <v>24</v>
      </c>
      <c r="J61" s="3" t="s">
        <v>40</v>
      </c>
      <c r="K61" s="3" t="s">
        <v>26</v>
      </c>
      <c r="L61" s="3" t="s">
        <v>320</v>
      </c>
      <c r="M61" s="3">
        <v>3471.0</v>
      </c>
      <c r="N61" s="3" t="s">
        <v>28</v>
      </c>
      <c r="O61" s="3" t="s">
        <v>416</v>
      </c>
      <c r="P61" s="3" t="s">
        <v>417</v>
      </c>
      <c r="Q61" s="3" t="s">
        <v>372</v>
      </c>
      <c r="R61" s="7"/>
      <c r="S61" s="7"/>
      <c r="T61" s="7"/>
      <c r="U61" s="7"/>
      <c r="V61" s="7"/>
      <c r="W61" s="7"/>
      <c r="X61" s="7"/>
      <c r="Y61" s="7"/>
      <c r="Z61" s="7"/>
      <c r="AA61" s="7"/>
      <c r="AB61" s="7"/>
      <c r="AC61" s="7"/>
      <c r="AD61" s="7"/>
      <c r="AE61" s="7"/>
    </row>
    <row r="62" ht="22.5" customHeight="1">
      <c r="A62" s="3" t="s">
        <v>418</v>
      </c>
      <c r="B62" s="3" t="s">
        <v>419</v>
      </c>
      <c r="C62" s="3" t="s">
        <v>420</v>
      </c>
      <c r="D62" s="3" t="s">
        <v>421</v>
      </c>
      <c r="E62" s="3">
        <v>2024.0</v>
      </c>
      <c r="F62" s="6" t="s">
        <v>422</v>
      </c>
      <c r="G62" s="3" t="s">
        <v>37</v>
      </c>
      <c r="H62" s="3" t="s">
        <v>49</v>
      </c>
      <c r="I62" s="3" t="s">
        <v>24</v>
      </c>
      <c r="J62" s="3" t="s">
        <v>51</v>
      </c>
      <c r="K62" s="3" t="s">
        <v>89</v>
      </c>
      <c r="L62" s="3" t="s">
        <v>423</v>
      </c>
      <c r="M62" s="3">
        <v>24000.0</v>
      </c>
      <c r="N62" s="3" t="s">
        <v>28</v>
      </c>
      <c r="O62" s="3" t="s">
        <v>424</v>
      </c>
      <c r="P62" s="3" t="s">
        <v>30</v>
      </c>
      <c r="Q62" s="3" t="s">
        <v>425</v>
      </c>
      <c r="R62" s="7"/>
      <c r="S62" s="7"/>
      <c r="T62" s="7"/>
      <c r="U62" s="7"/>
      <c r="V62" s="7"/>
      <c r="W62" s="7"/>
      <c r="X62" s="7"/>
      <c r="Y62" s="7"/>
      <c r="Z62" s="7"/>
      <c r="AA62" s="7"/>
      <c r="AB62" s="7"/>
      <c r="AC62" s="7"/>
      <c r="AD62" s="7"/>
      <c r="AE62" s="7"/>
    </row>
    <row r="63" ht="22.5" customHeight="1">
      <c r="A63" s="3" t="s">
        <v>426</v>
      </c>
      <c r="B63" s="3" t="s">
        <v>427</v>
      </c>
      <c r="C63" s="3" t="s">
        <v>428</v>
      </c>
      <c r="D63" s="3" t="s">
        <v>421</v>
      </c>
      <c r="E63" s="3">
        <v>2024.0</v>
      </c>
      <c r="F63" s="6" t="s">
        <v>429</v>
      </c>
      <c r="G63" s="3" t="s">
        <v>37</v>
      </c>
      <c r="H63" s="3" t="s">
        <v>49</v>
      </c>
      <c r="I63" s="3" t="s">
        <v>24</v>
      </c>
      <c r="J63" s="3" t="s">
        <v>51</v>
      </c>
      <c r="K63" s="3" t="s">
        <v>89</v>
      </c>
      <c r="L63" s="3" t="s">
        <v>423</v>
      </c>
      <c r="M63" s="3">
        <v>241.0</v>
      </c>
      <c r="N63" s="3" t="s">
        <v>28</v>
      </c>
      <c r="O63" s="3" t="s">
        <v>30</v>
      </c>
      <c r="P63" s="3" t="s">
        <v>30</v>
      </c>
      <c r="Q63" s="3" t="s">
        <v>425</v>
      </c>
      <c r="R63" s="7"/>
      <c r="S63" s="7"/>
      <c r="T63" s="7"/>
      <c r="U63" s="7"/>
      <c r="V63" s="7"/>
      <c r="W63" s="7"/>
      <c r="X63" s="7"/>
      <c r="Y63" s="7"/>
      <c r="Z63" s="7"/>
      <c r="AA63" s="7"/>
      <c r="AB63" s="7"/>
      <c r="AC63" s="7"/>
      <c r="AD63" s="7"/>
      <c r="AE63" s="7"/>
    </row>
    <row r="64">
      <c r="A64" s="12"/>
      <c r="B64" s="12"/>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row>
  </sheetData>
  <hyperlinks>
    <hyperlink r:id="rId1" ref="D2"/>
    <hyperlink r:id="rId2" ref="F2"/>
    <hyperlink r:id="rId3" ref="D3"/>
    <hyperlink r:id="rId4" ref="F3"/>
    <hyperlink r:id="rId5" ref="D4"/>
    <hyperlink r:id="rId6" ref="F4"/>
    <hyperlink r:id="rId7" ref="D5"/>
    <hyperlink r:id="rId8" ref="F5"/>
    <hyperlink r:id="rId9" ref="D6"/>
    <hyperlink r:id="rId10" ref="F6"/>
    <hyperlink r:id="rId11" ref="D7"/>
    <hyperlink r:id="rId12" ref="F7"/>
    <hyperlink r:id="rId13" ref="F8"/>
    <hyperlink r:id="rId14" ref="F9"/>
    <hyperlink r:id="rId15" ref="F10"/>
    <hyperlink r:id="rId16" ref="F11"/>
    <hyperlink r:id="rId17" ref="F12"/>
    <hyperlink r:id="rId18" ref="D13"/>
    <hyperlink r:id="rId19" ref="F13"/>
    <hyperlink r:id="rId20" ref="F14"/>
    <hyperlink r:id="rId21" ref="F15"/>
    <hyperlink r:id="rId22" ref="F16"/>
    <hyperlink r:id="rId23" ref="F17"/>
    <hyperlink r:id="rId24" ref="F18"/>
    <hyperlink r:id="rId25" ref="D19"/>
    <hyperlink r:id="rId26" ref="F19"/>
    <hyperlink r:id="rId27" ref="D20"/>
    <hyperlink r:id="rId28" ref="F20"/>
    <hyperlink r:id="rId29" ref="F21"/>
    <hyperlink r:id="rId30" ref="F22"/>
    <hyperlink r:id="rId31" ref="D23"/>
    <hyperlink r:id="rId32" ref="F23"/>
    <hyperlink r:id="rId33" ref="D24"/>
    <hyperlink r:id="rId34" ref="F24"/>
    <hyperlink r:id="rId35" ref="D25"/>
    <hyperlink r:id="rId36" ref="F25"/>
    <hyperlink r:id="rId37" ref="F26"/>
    <hyperlink r:id="rId38" ref="F27"/>
    <hyperlink r:id="rId39" ref="F28"/>
    <hyperlink r:id="rId40" ref="F29"/>
    <hyperlink r:id="rId41" ref="D30"/>
    <hyperlink r:id="rId42" ref="F30"/>
    <hyperlink r:id="rId43" ref="F31"/>
    <hyperlink r:id="rId44" ref="F32"/>
    <hyperlink r:id="rId45" ref="D33"/>
    <hyperlink r:id="rId46" ref="F33"/>
    <hyperlink r:id="rId47" ref="D34"/>
    <hyperlink r:id="rId48" ref="F34"/>
    <hyperlink r:id="rId49" ref="D35"/>
    <hyperlink r:id="rId50" ref="F35"/>
    <hyperlink r:id="rId51" ref="D36"/>
    <hyperlink r:id="rId52" ref="F36"/>
    <hyperlink r:id="rId53" ref="F37"/>
    <hyperlink r:id="rId54" ref="F38"/>
    <hyperlink r:id="rId55" ref="D39"/>
    <hyperlink r:id="rId56" ref="F39"/>
    <hyperlink r:id="rId57" ref="F40"/>
    <hyperlink r:id="rId58" ref="F41"/>
    <hyperlink r:id="rId59" ref="D42"/>
    <hyperlink r:id="rId60" ref="F42"/>
    <hyperlink r:id="rId61" ref="D43"/>
    <hyperlink r:id="rId62" ref="F43"/>
    <hyperlink r:id="rId63" ref="F44"/>
    <hyperlink r:id="rId64" ref="F45"/>
    <hyperlink r:id="rId65" ref="F46"/>
    <hyperlink r:id="rId66" ref="F47"/>
    <hyperlink r:id="rId67" ref="F48"/>
    <hyperlink r:id="rId68" ref="D49"/>
    <hyperlink r:id="rId69" ref="F49"/>
    <hyperlink r:id="rId70" ref="F50"/>
    <hyperlink r:id="rId71" ref="F51"/>
    <hyperlink r:id="rId72" ref="D52"/>
    <hyperlink r:id="rId73" ref="F52"/>
    <hyperlink r:id="rId74" ref="F53"/>
    <hyperlink r:id="rId75" ref="D54"/>
    <hyperlink r:id="rId76" ref="F54"/>
    <hyperlink r:id="rId77" ref="D55"/>
    <hyperlink r:id="rId78" ref="F55"/>
    <hyperlink r:id="rId79" ref="F56"/>
    <hyperlink r:id="rId80" ref="D57"/>
    <hyperlink r:id="rId81" ref="F57"/>
    <hyperlink r:id="rId82" ref="F58"/>
    <hyperlink r:id="rId83" ref="F59"/>
    <hyperlink r:id="rId84" ref="F60"/>
    <hyperlink r:id="rId85" ref="D61"/>
    <hyperlink r:id="rId86" ref="F61"/>
    <hyperlink r:id="rId87" ref="F62"/>
    <hyperlink r:id="rId88" ref="F63"/>
  </hyperlinks>
  <drawing r:id="rId89"/>
  <tableParts count="1">
    <tablePart r:id="rId9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0.89"/>
    <col customWidth="1" min="2" max="2" width="60.78"/>
    <col customWidth="1" min="3" max="3" width="27.0"/>
  </cols>
  <sheetData>
    <row r="1">
      <c r="A1" s="13"/>
      <c r="B1" s="14" t="s">
        <v>2</v>
      </c>
      <c r="C1" s="14" t="s">
        <v>430</v>
      </c>
    </row>
    <row r="2">
      <c r="A2" s="13" t="s">
        <v>0</v>
      </c>
      <c r="B2" s="15" t="s">
        <v>431</v>
      </c>
      <c r="C2" s="15" t="s">
        <v>432</v>
      </c>
    </row>
    <row r="3">
      <c r="A3" s="13" t="s">
        <v>1</v>
      </c>
      <c r="B3" s="15" t="s">
        <v>433</v>
      </c>
      <c r="C3" s="15" t="s">
        <v>434</v>
      </c>
    </row>
    <row r="4">
      <c r="A4" s="13" t="s">
        <v>2</v>
      </c>
      <c r="B4" s="15" t="s">
        <v>435</v>
      </c>
      <c r="C4" s="15" t="s">
        <v>436</v>
      </c>
    </row>
    <row r="5">
      <c r="A5" s="13" t="s">
        <v>3</v>
      </c>
      <c r="B5" s="15" t="s">
        <v>437</v>
      </c>
      <c r="C5" s="15" t="s">
        <v>438</v>
      </c>
    </row>
    <row r="6">
      <c r="A6" s="13" t="s">
        <v>4</v>
      </c>
      <c r="B6" s="15" t="s">
        <v>439</v>
      </c>
      <c r="C6" s="15" t="s">
        <v>440</v>
      </c>
    </row>
    <row r="7">
      <c r="A7" s="13" t="s">
        <v>5</v>
      </c>
      <c r="B7" s="15" t="s">
        <v>441</v>
      </c>
      <c r="C7" s="15" t="s">
        <v>442</v>
      </c>
    </row>
    <row r="8">
      <c r="A8" s="13" t="s">
        <v>6</v>
      </c>
      <c r="B8" s="15" t="s">
        <v>443</v>
      </c>
      <c r="C8" s="15" t="s">
        <v>444</v>
      </c>
    </row>
    <row r="9">
      <c r="A9" s="13" t="s">
        <v>7</v>
      </c>
      <c r="B9" s="15" t="s">
        <v>445</v>
      </c>
      <c r="C9" s="15" t="s">
        <v>446</v>
      </c>
    </row>
    <row r="10">
      <c r="A10" s="13" t="s">
        <v>8</v>
      </c>
      <c r="B10" s="15" t="s">
        <v>447</v>
      </c>
      <c r="C10" s="15" t="s">
        <v>448</v>
      </c>
    </row>
    <row r="11">
      <c r="A11" s="13" t="s">
        <v>9</v>
      </c>
      <c r="B11" s="15" t="s">
        <v>449</v>
      </c>
      <c r="C11" s="15" t="s">
        <v>450</v>
      </c>
    </row>
    <row r="12">
      <c r="A12" s="13" t="s">
        <v>10</v>
      </c>
      <c r="B12" s="15" t="s">
        <v>451</v>
      </c>
      <c r="C12" s="15" t="s">
        <v>452</v>
      </c>
    </row>
    <row r="13">
      <c r="A13" s="13" t="s">
        <v>11</v>
      </c>
      <c r="B13" s="15" t="s">
        <v>453</v>
      </c>
      <c r="C13" s="15" t="s">
        <v>434</v>
      </c>
    </row>
    <row r="14">
      <c r="A14" s="13" t="s">
        <v>12</v>
      </c>
      <c r="B14" s="15" t="s">
        <v>454</v>
      </c>
      <c r="C14" s="15" t="s">
        <v>455</v>
      </c>
    </row>
    <row r="15">
      <c r="A15" s="13" t="s">
        <v>13</v>
      </c>
      <c r="B15" s="15" t="s">
        <v>456</v>
      </c>
      <c r="C15" s="15" t="s">
        <v>457</v>
      </c>
    </row>
    <row r="16">
      <c r="A16" s="13" t="s">
        <v>14</v>
      </c>
      <c r="B16" s="15" t="s">
        <v>458</v>
      </c>
      <c r="C16" s="15" t="s">
        <v>459</v>
      </c>
    </row>
    <row r="17">
      <c r="A17" s="13" t="s">
        <v>15</v>
      </c>
      <c r="B17" s="15" t="s">
        <v>460</v>
      </c>
      <c r="C17" s="15" t="s">
        <v>461</v>
      </c>
    </row>
    <row r="18">
      <c r="A18" s="13" t="s">
        <v>16</v>
      </c>
      <c r="B18" s="15" t="s">
        <v>462</v>
      </c>
      <c r="C18" s="15" t="s">
        <v>463</v>
      </c>
    </row>
    <row r="19">
      <c r="B19" s="16"/>
    </row>
    <row r="20">
      <c r="B20" s="16"/>
    </row>
    <row r="21">
      <c r="B21" s="16"/>
    </row>
    <row r="22">
      <c r="B22" s="16"/>
    </row>
    <row r="23">
      <c r="B23" s="16"/>
    </row>
    <row r="24">
      <c r="B24" s="16"/>
    </row>
    <row r="25">
      <c r="B25" s="16"/>
    </row>
    <row r="26">
      <c r="B26" s="16"/>
    </row>
    <row r="27">
      <c r="B27" s="16"/>
    </row>
    <row r="28">
      <c r="B28" s="16"/>
    </row>
    <row r="29">
      <c r="B29" s="16"/>
    </row>
    <row r="30">
      <c r="B30" s="16"/>
    </row>
    <row r="31">
      <c r="B31" s="16"/>
    </row>
    <row r="32">
      <c r="B32" s="16"/>
    </row>
    <row r="33">
      <c r="B33" s="16"/>
    </row>
    <row r="34">
      <c r="B34" s="16"/>
    </row>
    <row r="35">
      <c r="B35" s="16"/>
    </row>
    <row r="36">
      <c r="B36" s="16"/>
    </row>
    <row r="37">
      <c r="B37" s="16"/>
    </row>
    <row r="38">
      <c r="B38" s="16"/>
    </row>
    <row r="39">
      <c r="B39" s="16"/>
    </row>
    <row r="40">
      <c r="B40" s="16"/>
    </row>
    <row r="41">
      <c r="B41" s="16"/>
    </row>
    <row r="42">
      <c r="B42" s="16"/>
    </row>
    <row r="43">
      <c r="B43" s="16"/>
    </row>
    <row r="44">
      <c r="B44" s="16"/>
    </row>
    <row r="45">
      <c r="B45" s="16"/>
    </row>
    <row r="46">
      <c r="B46" s="16"/>
    </row>
    <row r="47">
      <c r="B47" s="16"/>
    </row>
    <row r="48">
      <c r="B48" s="16"/>
    </row>
    <row r="49">
      <c r="B49" s="16"/>
    </row>
    <row r="50">
      <c r="B50" s="16"/>
    </row>
    <row r="51">
      <c r="B51" s="16"/>
    </row>
    <row r="52">
      <c r="B52" s="16"/>
    </row>
    <row r="53">
      <c r="B53" s="16"/>
    </row>
    <row r="54">
      <c r="B54" s="16"/>
    </row>
    <row r="55">
      <c r="B55" s="16"/>
    </row>
    <row r="56">
      <c r="B56" s="16"/>
    </row>
    <row r="57">
      <c r="B57" s="16"/>
    </row>
    <row r="58">
      <c r="B58" s="16"/>
    </row>
    <row r="59">
      <c r="B59" s="16"/>
    </row>
    <row r="60">
      <c r="B60" s="16"/>
    </row>
    <row r="61">
      <c r="B61" s="16"/>
    </row>
    <row r="62">
      <c r="B62" s="16"/>
    </row>
    <row r="63">
      <c r="B63" s="16"/>
    </row>
    <row r="64">
      <c r="B64" s="16"/>
    </row>
    <row r="65">
      <c r="B65" s="16"/>
    </row>
    <row r="66">
      <c r="B66" s="16"/>
    </row>
    <row r="67">
      <c r="B67" s="16"/>
    </row>
    <row r="68">
      <c r="B68" s="16"/>
    </row>
    <row r="69">
      <c r="B69" s="16"/>
    </row>
    <row r="70">
      <c r="B70" s="16"/>
    </row>
    <row r="71">
      <c r="B71" s="16"/>
    </row>
    <row r="72">
      <c r="B72" s="16"/>
    </row>
    <row r="73">
      <c r="B73" s="16"/>
    </row>
    <row r="74">
      <c r="B74" s="16"/>
    </row>
    <row r="75">
      <c r="B75" s="16"/>
    </row>
    <row r="76">
      <c r="B76" s="16"/>
    </row>
    <row r="77">
      <c r="B77" s="16"/>
    </row>
    <row r="78">
      <c r="B78" s="16"/>
    </row>
    <row r="79">
      <c r="B79" s="16"/>
    </row>
    <row r="80">
      <c r="B80" s="16"/>
    </row>
    <row r="81">
      <c r="B81" s="16"/>
    </row>
    <row r="82">
      <c r="B82" s="16"/>
    </row>
    <row r="83">
      <c r="B83" s="16"/>
    </row>
    <row r="84">
      <c r="B84" s="16"/>
    </row>
    <row r="85">
      <c r="B85" s="16"/>
    </row>
    <row r="86">
      <c r="B86" s="16"/>
    </row>
    <row r="87">
      <c r="B87" s="16"/>
    </row>
    <row r="88">
      <c r="B88" s="16"/>
    </row>
    <row r="89">
      <c r="B89" s="16"/>
    </row>
    <row r="90">
      <c r="B90" s="16"/>
    </row>
    <row r="91">
      <c r="B91" s="16"/>
    </row>
    <row r="92">
      <c r="B92" s="16"/>
    </row>
    <row r="93">
      <c r="B93" s="16"/>
    </row>
    <row r="94">
      <c r="B94" s="16"/>
    </row>
    <row r="95">
      <c r="B95" s="16"/>
    </row>
    <row r="96">
      <c r="B96" s="16"/>
    </row>
    <row r="97">
      <c r="B97" s="16"/>
    </row>
    <row r="98">
      <c r="B98" s="16"/>
    </row>
    <row r="99">
      <c r="B99" s="16"/>
    </row>
    <row r="100">
      <c r="B100" s="16"/>
    </row>
    <row r="101">
      <c r="B101" s="16"/>
    </row>
    <row r="102">
      <c r="B102" s="16"/>
    </row>
    <row r="103">
      <c r="B103" s="16"/>
    </row>
    <row r="104">
      <c r="B104" s="16"/>
    </row>
    <row r="105">
      <c r="B105" s="16"/>
    </row>
    <row r="106">
      <c r="B106" s="16"/>
    </row>
    <row r="107">
      <c r="B107" s="16"/>
    </row>
    <row r="108">
      <c r="B108" s="16"/>
    </row>
    <row r="109">
      <c r="B109" s="16"/>
    </row>
    <row r="110">
      <c r="B110" s="16"/>
    </row>
    <row r="111">
      <c r="B111" s="16"/>
    </row>
    <row r="112">
      <c r="B112" s="16"/>
    </row>
    <row r="113">
      <c r="B113" s="16"/>
    </row>
    <row r="114">
      <c r="B114" s="16"/>
    </row>
    <row r="115">
      <c r="B115" s="16"/>
    </row>
    <row r="116">
      <c r="B116" s="16"/>
    </row>
    <row r="117">
      <c r="B117" s="16"/>
    </row>
    <row r="118">
      <c r="B118" s="16"/>
    </row>
    <row r="119">
      <c r="B119" s="16"/>
    </row>
    <row r="120">
      <c r="B120" s="16"/>
    </row>
    <row r="121">
      <c r="B121" s="16"/>
    </row>
    <row r="122">
      <c r="B122" s="16"/>
    </row>
    <row r="123">
      <c r="B123" s="16"/>
    </row>
    <row r="124">
      <c r="B124" s="16"/>
    </row>
    <row r="125">
      <c r="B125" s="16"/>
    </row>
    <row r="126">
      <c r="B126" s="16"/>
    </row>
    <row r="127">
      <c r="B127" s="16"/>
    </row>
    <row r="128">
      <c r="B128" s="16"/>
    </row>
    <row r="129">
      <c r="B129" s="16"/>
    </row>
    <row r="130">
      <c r="B130" s="16"/>
    </row>
    <row r="131">
      <c r="B131" s="16"/>
    </row>
    <row r="132">
      <c r="B132" s="16"/>
    </row>
    <row r="133">
      <c r="B133" s="16"/>
    </row>
    <row r="134">
      <c r="B134" s="16"/>
    </row>
    <row r="135">
      <c r="B135" s="16"/>
    </row>
    <row r="136">
      <c r="B136" s="16"/>
    </row>
    <row r="137">
      <c r="B137" s="16"/>
    </row>
    <row r="138">
      <c r="B138" s="16"/>
    </row>
    <row r="139">
      <c r="B139" s="16"/>
    </row>
    <row r="140">
      <c r="B140" s="16"/>
    </row>
    <row r="141">
      <c r="B141" s="16"/>
    </row>
    <row r="142">
      <c r="B142" s="16"/>
    </row>
    <row r="143">
      <c r="B143" s="16"/>
    </row>
    <row r="144">
      <c r="B144" s="16"/>
    </row>
    <row r="145">
      <c r="B145" s="16"/>
    </row>
    <row r="146">
      <c r="B146" s="16"/>
    </row>
    <row r="147">
      <c r="B147" s="16"/>
    </row>
    <row r="148">
      <c r="B148" s="16"/>
    </row>
    <row r="149">
      <c r="B149" s="16"/>
    </row>
    <row r="150">
      <c r="B150" s="16"/>
    </row>
    <row r="151">
      <c r="B151" s="16"/>
    </row>
    <row r="152">
      <c r="B152" s="16"/>
    </row>
    <row r="153">
      <c r="B153" s="16"/>
    </row>
    <row r="154">
      <c r="B154" s="16"/>
    </row>
    <row r="155">
      <c r="B155" s="16"/>
    </row>
    <row r="156">
      <c r="B156" s="16"/>
    </row>
    <row r="157">
      <c r="B157" s="16"/>
    </row>
    <row r="158">
      <c r="B158" s="16"/>
    </row>
    <row r="159">
      <c r="B159" s="16"/>
    </row>
    <row r="160">
      <c r="B160" s="16"/>
    </row>
    <row r="161">
      <c r="B161" s="16"/>
    </row>
    <row r="162">
      <c r="B162" s="16"/>
    </row>
    <row r="163">
      <c r="B163" s="16"/>
    </row>
    <row r="164">
      <c r="B164" s="16"/>
    </row>
    <row r="165">
      <c r="B165" s="16"/>
    </row>
    <row r="166">
      <c r="B166" s="16"/>
    </row>
    <row r="167">
      <c r="B167" s="16"/>
    </row>
    <row r="168">
      <c r="B168" s="16"/>
    </row>
    <row r="169">
      <c r="B169" s="16"/>
    </row>
    <row r="170">
      <c r="B170" s="16"/>
    </row>
    <row r="171">
      <c r="B171" s="16"/>
    </row>
    <row r="172">
      <c r="B172" s="16"/>
    </row>
    <row r="173">
      <c r="B173" s="16"/>
    </row>
    <row r="174">
      <c r="B174" s="16"/>
    </row>
    <row r="175">
      <c r="B175" s="16"/>
    </row>
    <row r="176">
      <c r="B176" s="16"/>
    </row>
    <row r="177">
      <c r="B177" s="16"/>
    </row>
    <row r="178">
      <c r="B178" s="16"/>
    </row>
    <row r="179">
      <c r="B179" s="16"/>
    </row>
    <row r="180">
      <c r="B180" s="16"/>
    </row>
    <row r="181">
      <c r="B181" s="16"/>
    </row>
    <row r="182">
      <c r="B182" s="16"/>
    </row>
    <row r="183">
      <c r="B183" s="16"/>
    </row>
    <row r="184">
      <c r="B184" s="16"/>
    </row>
    <row r="185">
      <c r="B185" s="16"/>
    </row>
    <row r="186">
      <c r="B186" s="16"/>
    </row>
    <row r="187">
      <c r="B187" s="16"/>
    </row>
    <row r="188">
      <c r="B188" s="16"/>
    </row>
    <row r="189">
      <c r="B189" s="16"/>
    </row>
    <row r="190">
      <c r="B190" s="16"/>
    </row>
    <row r="191">
      <c r="B191" s="16"/>
    </row>
    <row r="192">
      <c r="B192" s="16"/>
    </row>
    <row r="193">
      <c r="B193" s="16"/>
    </row>
    <row r="194">
      <c r="B194" s="16"/>
    </row>
    <row r="195">
      <c r="B195" s="16"/>
    </row>
    <row r="196">
      <c r="B196" s="16"/>
    </row>
    <row r="197">
      <c r="B197" s="16"/>
    </row>
    <row r="198">
      <c r="B198" s="16"/>
    </row>
    <row r="199">
      <c r="B199" s="16"/>
    </row>
    <row r="200">
      <c r="B200" s="16"/>
    </row>
    <row r="201">
      <c r="B201" s="16"/>
    </row>
    <row r="202">
      <c r="B202" s="16"/>
    </row>
    <row r="203">
      <c r="B203" s="16"/>
    </row>
    <row r="204">
      <c r="B204" s="16"/>
    </row>
    <row r="205">
      <c r="B205" s="16"/>
    </row>
    <row r="206">
      <c r="B206" s="16"/>
    </row>
    <row r="207">
      <c r="B207" s="16"/>
    </row>
    <row r="208">
      <c r="B208" s="16"/>
    </row>
    <row r="209">
      <c r="B209" s="16"/>
    </row>
    <row r="210">
      <c r="B210" s="16"/>
    </row>
    <row r="211">
      <c r="B211" s="16"/>
    </row>
    <row r="212">
      <c r="B212" s="16"/>
    </row>
    <row r="213">
      <c r="B213" s="16"/>
    </row>
    <row r="214">
      <c r="B214" s="16"/>
    </row>
    <row r="215">
      <c r="B215" s="16"/>
    </row>
    <row r="216">
      <c r="B216" s="16"/>
    </row>
    <row r="217">
      <c r="B217" s="16"/>
    </row>
    <row r="218">
      <c r="B218" s="16"/>
    </row>
    <row r="219">
      <c r="B219" s="16"/>
    </row>
    <row r="220">
      <c r="B220" s="16"/>
    </row>
    <row r="221">
      <c r="B221" s="16"/>
    </row>
    <row r="222">
      <c r="B222" s="16"/>
    </row>
    <row r="223">
      <c r="B223" s="16"/>
    </row>
    <row r="224">
      <c r="B224" s="16"/>
    </row>
    <row r="225">
      <c r="B225" s="16"/>
    </row>
    <row r="226">
      <c r="B226" s="16"/>
    </row>
    <row r="227">
      <c r="B227" s="16"/>
    </row>
    <row r="228">
      <c r="B228" s="16"/>
    </row>
    <row r="229">
      <c r="B229" s="16"/>
    </row>
    <row r="230">
      <c r="B230" s="16"/>
    </row>
    <row r="231">
      <c r="B231" s="16"/>
    </row>
    <row r="232">
      <c r="B232" s="16"/>
    </row>
    <row r="233">
      <c r="B233" s="16"/>
    </row>
    <row r="234">
      <c r="B234" s="16"/>
    </row>
    <row r="235">
      <c r="B235" s="16"/>
    </row>
    <row r="236">
      <c r="B236" s="16"/>
    </row>
    <row r="237">
      <c r="B237" s="16"/>
    </row>
    <row r="238">
      <c r="B238" s="16"/>
    </row>
    <row r="239">
      <c r="B239" s="16"/>
    </row>
    <row r="240">
      <c r="B240" s="16"/>
    </row>
    <row r="241">
      <c r="B241" s="16"/>
    </row>
    <row r="242">
      <c r="B242" s="16"/>
    </row>
    <row r="243">
      <c r="B243" s="16"/>
    </row>
    <row r="244">
      <c r="B244" s="16"/>
    </row>
    <row r="245">
      <c r="B245" s="16"/>
    </row>
    <row r="246">
      <c r="B246" s="16"/>
    </row>
    <row r="247">
      <c r="B247" s="16"/>
    </row>
    <row r="248">
      <c r="B248" s="16"/>
    </row>
    <row r="249">
      <c r="B249" s="16"/>
    </row>
    <row r="250">
      <c r="B250" s="16"/>
    </row>
    <row r="251">
      <c r="B251" s="16"/>
    </row>
    <row r="252">
      <c r="B252" s="16"/>
    </row>
    <row r="253">
      <c r="B253" s="16"/>
    </row>
    <row r="254">
      <c r="B254" s="16"/>
    </row>
    <row r="255">
      <c r="B255" s="16"/>
    </row>
    <row r="256">
      <c r="B256" s="16"/>
    </row>
    <row r="257">
      <c r="B257" s="16"/>
    </row>
    <row r="258">
      <c r="B258" s="16"/>
    </row>
    <row r="259">
      <c r="B259" s="16"/>
    </row>
    <row r="260">
      <c r="B260" s="16"/>
    </row>
    <row r="261">
      <c r="B261" s="16"/>
    </row>
    <row r="262">
      <c r="B262" s="16"/>
    </row>
    <row r="263">
      <c r="B263" s="16"/>
    </row>
    <row r="264">
      <c r="B264" s="16"/>
    </row>
    <row r="265">
      <c r="B265" s="16"/>
    </row>
    <row r="266">
      <c r="B266" s="16"/>
    </row>
    <row r="267">
      <c r="B267" s="16"/>
    </row>
    <row r="268">
      <c r="B268" s="16"/>
    </row>
    <row r="269">
      <c r="B269" s="16"/>
    </row>
    <row r="270">
      <c r="B270" s="16"/>
    </row>
    <row r="271">
      <c r="B271" s="16"/>
    </row>
    <row r="272">
      <c r="B272" s="16"/>
    </row>
    <row r="273">
      <c r="B273" s="16"/>
    </row>
    <row r="274">
      <c r="B274" s="16"/>
    </row>
    <row r="275">
      <c r="B275" s="16"/>
    </row>
    <row r="276">
      <c r="B276" s="16"/>
    </row>
    <row r="277">
      <c r="B277" s="16"/>
    </row>
    <row r="278">
      <c r="B278" s="16"/>
    </row>
    <row r="279">
      <c r="B279" s="16"/>
    </row>
    <row r="280">
      <c r="B280" s="16"/>
    </row>
    <row r="281">
      <c r="B281" s="16"/>
    </row>
    <row r="282">
      <c r="B282" s="16"/>
    </row>
    <row r="283">
      <c r="B283" s="16"/>
    </row>
    <row r="284">
      <c r="B284" s="16"/>
    </row>
    <row r="285">
      <c r="B285" s="16"/>
    </row>
    <row r="286">
      <c r="B286" s="16"/>
    </row>
    <row r="287">
      <c r="B287" s="16"/>
    </row>
    <row r="288">
      <c r="B288" s="16"/>
    </row>
    <row r="289">
      <c r="B289" s="16"/>
    </row>
    <row r="290">
      <c r="B290" s="16"/>
    </row>
    <row r="291">
      <c r="B291" s="16"/>
    </row>
    <row r="292">
      <c r="B292" s="16"/>
    </row>
    <row r="293">
      <c r="B293" s="16"/>
    </row>
    <row r="294">
      <c r="B294" s="16"/>
    </row>
    <row r="295">
      <c r="B295" s="16"/>
    </row>
    <row r="296">
      <c r="B296" s="16"/>
    </row>
    <row r="297">
      <c r="B297" s="16"/>
    </row>
    <row r="298">
      <c r="B298" s="16"/>
    </row>
    <row r="299">
      <c r="B299" s="16"/>
    </row>
    <row r="300">
      <c r="B300" s="16"/>
    </row>
    <row r="301">
      <c r="B301" s="16"/>
    </row>
    <row r="302">
      <c r="B302" s="16"/>
    </row>
    <row r="303">
      <c r="B303" s="16"/>
    </row>
    <row r="304">
      <c r="B304" s="16"/>
    </row>
    <row r="305">
      <c r="B305" s="16"/>
    </row>
    <row r="306">
      <c r="B306" s="16"/>
    </row>
    <row r="307">
      <c r="B307" s="16"/>
    </row>
    <row r="308">
      <c r="B308" s="16"/>
    </row>
    <row r="309">
      <c r="B309" s="16"/>
    </row>
    <row r="310">
      <c r="B310" s="16"/>
    </row>
    <row r="311">
      <c r="B311" s="16"/>
    </row>
    <row r="312">
      <c r="B312" s="16"/>
    </row>
    <row r="313">
      <c r="B313" s="16"/>
    </row>
    <row r="314">
      <c r="B314" s="16"/>
    </row>
    <row r="315">
      <c r="B315" s="16"/>
    </row>
    <row r="316">
      <c r="B316" s="16"/>
    </row>
    <row r="317">
      <c r="B317" s="16"/>
    </row>
    <row r="318">
      <c r="B318" s="16"/>
    </row>
    <row r="319">
      <c r="B319" s="16"/>
    </row>
    <row r="320">
      <c r="B320" s="16"/>
    </row>
    <row r="321">
      <c r="B321" s="16"/>
    </row>
    <row r="322">
      <c r="B322" s="16"/>
    </row>
    <row r="323">
      <c r="B323" s="16"/>
    </row>
    <row r="324">
      <c r="B324" s="16"/>
    </row>
    <row r="325">
      <c r="B325" s="16"/>
    </row>
    <row r="326">
      <c r="B326" s="16"/>
    </row>
    <row r="327">
      <c r="B327" s="16"/>
    </row>
    <row r="328">
      <c r="B328" s="16"/>
    </row>
    <row r="329">
      <c r="B329" s="16"/>
    </row>
    <row r="330">
      <c r="B330" s="16"/>
    </row>
    <row r="331">
      <c r="B331" s="16"/>
    </row>
    <row r="332">
      <c r="B332" s="16"/>
    </row>
    <row r="333">
      <c r="B333" s="16"/>
    </row>
    <row r="334">
      <c r="B334" s="16"/>
    </row>
    <row r="335">
      <c r="B335" s="16"/>
    </row>
    <row r="336">
      <c r="B336" s="16"/>
    </row>
    <row r="337">
      <c r="B337" s="16"/>
    </row>
    <row r="338">
      <c r="B338" s="16"/>
    </row>
    <row r="339">
      <c r="B339" s="16"/>
    </row>
    <row r="340">
      <c r="B340" s="16"/>
    </row>
    <row r="341">
      <c r="B341" s="16"/>
    </row>
    <row r="342">
      <c r="B342" s="16"/>
    </row>
    <row r="343">
      <c r="B343" s="16"/>
    </row>
    <row r="344">
      <c r="B344" s="16"/>
    </row>
    <row r="345">
      <c r="B345" s="16"/>
    </row>
    <row r="346">
      <c r="B346" s="16"/>
    </row>
    <row r="347">
      <c r="B347" s="16"/>
    </row>
    <row r="348">
      <c r="B348" s="16"/>
    </row>
    <row r="349">
      <c r="B349" s="16"/>
    </row>
    <row r="350">
      <c r="B350" s="16"/>
    </row>
    <row r="351">
      <c r="B351" s="16"/>
    </row>
    <row r="352">
      <c r="B352" s="16"/>
    </row>
    <row r="353">
      <c r="B353" s="16"/>
    </row>
    <row r="354">
      <c r="B354" s="16"/>
    </row>
    <row r="355">
      <c r="B355" s="16"/>
    </row>
    <row r="356">
      <c r="B356" s="16"/>
    </row>
    <row r="357">
      <c r="B357" s="16"/>
    </row>
    <row r="358">
      <c r="B358" s="16"/>
    </row>
    <row r="359">
      <c r="B359" s="16"/>
    </row>
    <row r="360">
      <c r="B360" s="16"/>
    </row>
    <row r="361">
      <c r="B361" s="16"/>
    </row>
    <row r="362">
      <c r="B362" s="16"/>
    </row>
    <row r="363">
      <c r="B363" s="16"/>
    </row>
    <row r="364">
      <c r="B364" s="16"/>
    </row>
    <row r="365">
      <c r="B365" s="16"/>
    </row>
    <row r="366">
      <c r="B366" s="16"/>
    </row>
    <row r="367">
      <c r="B367" s="16"/>
    </row>
    <row r="368">
      <c r="B368" s="16"/>
    </row>
    <row r="369">
      <c r="B369" s="16"/>
    </row>
    <row r="370">
      <c r="B370" s="16"/>
    </row>
    <row r="371">
      <c r="B371" s="16"/>
    </row>
    <row r="372">
      <c r="B372" s="16"/>
    </row>
    <row r="373">
      <c r="B373" s="16"/>
    </row>
    <row r="374">
      <c r="B374" s="16"/>
    </row>
    <row r="375">
      <c r="B375" s="16"/>
    </row>
    <row r="376">
      <c r="B376" s="16"/>
    </row>
    <row r="377">
      <c r="B377" s="16"/>
    </row>
    <row r="378">
      <c r="B378" s="16"/>
    </row>
    <row r="379">
      <c r="B379" s="16"/>
    </row>
    <row r="380">
      <c r="B380" s="16"/>
    </row>
    <row r="381">
      <c r="B381" s="16"/>
    </row>
    <row r="382">
      <c r="B382" s="16"/>
    </row>
    <row r="383">
      <c r="B383" s="16"/>
    </row>
    <row r="384">
      <c r="B384" s="16"/>
    </row>
    <row r="385">
      <c r="B385" s="16"/>
    </row>
    <row r="386">
      <c r="B386" s="16"/>
    </row>
    <row r="387">
      <c r="B387" s="16"/>
    </row>
    <row r="388">
      <c r="B388" s="16"/>
    </row>
    <row r="389">
      <c r="B389" s="16"/>
    </row>
    <row r="390">
      <c r="B390" s="16"/>
    </row>
    <row r="391">
      <c r="B391" s="16"/>
    </row>
    <row r="392">
      <c r="B392" s="16"/>
    </row>
    <row r="393">
      <c r="B393" s="16"/>
    </row>
    <row r="394">
      <c r="B394" s="16"/>
    </row>
    <row r="395">
      <c r="B395" s="16"/>
    </row>
    <row r="396">
      <c r="B396" s="16"/>
    </row>
    <row r="397">
      <c r="B397" s="16"/>
    </row>
    <row r="398">
      <c r="B398" s="16"/>
    </row>
    <row r="399">
      <c r="B399" s="16"/>
    </row>
    <row r="400">
      <c r="B400" s="16"/>
    </row>
    <row r="401">
      <c r="B401" s="16"/>
    </row>
    <row r="402">
      <c r="B402" s="16"/>
    </row>
    <row r="403">
      <c r="B403" s="16"/>
    </row>
    <row r="404">
      <c r="B404" s="16"/>
    </row>
    <row r="405">
      <c r="B405" s="16"/>
    </row>
    <row r="406">
      <c r="B406" s="16"/>
    </row>
    <row r="407">
      <c r="B407" s="16"/>
    </row>
    <row r="408">
      <c r="B408" s="16"/>
    </row>
    <row r="409">
      <c r="B409" s="16"/>
    </row>
    <row r="410">
      <c r="B410" s="16"/>
    </row>
    <row r="411">
      <c r="B411" s="16"/>
    </row>
    <row r="412">
      <c r="B412" s="16"/>
    </row>
    <row r="413">
      <c r="B413" s="16"/>
    </row>
    <row r="414">
      <c r="B414" s="16"/>
    </row>
    <row r="415">
      <c r="B415" s="16"/>
    </row>
    <row r="416">
      <c r="B416" s="16"/>
    </row>
    <row r="417">
      <c r="B417" s="16"/>
    </row>
    <row r="418">
      <c r="B418" s="16"/>
    </row>
    <row r="419">
      <c r="B419" s="16"/>
    </row>
    <row r="420">
      <c r="B420" s="16"/>
    </row>
    <row r="421">
      <c r="B421" s="16"/>
    </row>
    <row r="422">
      <c r="B422" s="16"/>
    </row>
    <row r="423">
      <c r="B423" s="16"/>
    </row>
    <row r="424">
      <c r="B424" s="16"/>
    </row>
    <row r="425">
      <c r="B425" s="16"/>
    </row>
    <row r="426">
      <c r="B426" s="16"/>
    </row>
    <row r="427">
      <c r="B427" s="16"/>
    </row>
    <row r="428">
      <c r="B428" s="16"/>
    </row>
    <row r="429">
      <c r="B429" s="16"/>
    </row>
    <row r="430">
      <c r="B430" s="16"/>
    </row>
    <row r="431">
      <c r="B431" s="16"/>
    </row>
    <row r="432">
      <c r="B432" s="16"/>
    </row>
    <row r="433">
      <c r="B433" s="16"/>
    </row>
    <row r="434">
      <c r="B434" s="16"/>
    </row>
    <row r="435">
      <c r="B435" s="16"/>
    </row>
    <row r="436">
      <c r="B436" s="16"/>
    </row>
    <row r="437">
      <c r="B437" s="16"/>
    </row>
    <row r="438">
      <c r="B438" s="16"/>
    </row>
    <row r="439">
      <c r="B439" s="16"/>
    </row>
    <row r="440">
      <c r="B440" s="16"/>
    </row>
    <row r="441">
      <c r="B441" s="16"/>
    </row>
    <row r="442">
      <c r="B442" s="16"/>
    </row>
    <row r="443">
      <c r="B443" s="16"/>
    </row>
    <row r="444">
      <c r="B444" s="16"/>
    </row>
    <row r="445">
      <c r="B445" s="16"/>
    </row>
    <row r="446">
      <c r="B446" s="16"/>
    </row>
    <row r="447">
      <c r="B447" s="16"/>
    </row>
    <row r="448">
      <c r="B448" s="16"/>
    </row>
    <row r="449">
      <c r="B449" s="16"/>
    </row>
    <row r="450">
      <c r="B450" s="16"/>
    </row>
    <row r="451">
      <c r="B451" s="16"/>
    </row>
    <row r="452">
      <c r="B452" s="16"/>
    </row>
    <row r="453">
      <c r="B453" s="16"/>
    </row>
    <row r="454">
      <c r="B454" s="16"/>
    </row>
    <row r="455">
      <c r="B455" s="16"/>
    </row>
    <row r="456">
      <c r="B456" s="16"/>
    </row>
    <row r="457">
      <c r="B457" s="16"/>
    </row>
    <row r="458">
      <c r="B458" s="16"/>
    </row>
    <row r="459">
      <c r="B459" s="16"/>
    </row>
    <row r="460">
      <c r="B460" s="16"/>
    </row>
    <row r="461">
      <c r="B461" s="16"/>
    </row>
    <row r="462">
      <c r="B462" s="16"/>
    </row>
    <row r="463">
      <c r="B463" s="16"/>
    </row>
    <row r="464">
      <c r="B464" s="16"/>
    </row>
    <row r="465">
      <c r="B465" s="16"/>
    </row>
    <row r="466">
      <c r="B466" s="16"/>
    </row>
    <row r="467">
      <c r="B467" s="16"/>
    </row>
    <row r="468">
      <c r="B468" s="16"/>
    </row>
    <row r="469">
      <c r="B469" s="16"/>
    </row>
    <row r="470">
      <c r="B470" s="16"/>
    </row>
    <row r="471">
      <c r="B471" s="16"/>
    </row>
    <row r="472">
      <c r="B472" s="16"/>
    </row>
    <row r="473">
      <c r="B473" s="16"/>
    </row>
    <row r="474">
      <c r="B474" s="16"/>
    </row>
    <row r="475">
      <c r="B475" s="16"/>
    </row>
    <row r="476">
      <c r="B476" s="16"/>
    </row>
    <row r="477">
      <c r="B477" s="16"/>
    </row>
    <row r="478">
      <c r="B478" s="16"/>
    </row>
    <row r="479">
      <c r="B479" s="16"/>
    </row>
    <row r="480">
      <c r="B480" s="16"/>
    </row>
    <row r="481">
      <c r="B481" s="16"/>
    </row>
    <row r="482">
      <c r="B482" s="16"/>
    </row>
    <row r="483">
      <c r="B483" s="16"/>
    </row>
    <row r="484">
      <c r="B484" s="16"/>
    </row>
    <row r="485">
      <c r="B485" s="16"/>
    </row>
    <row r="486">
      <c r="B486" s="16"/>
    </row>
    <row r="487">
      <c r="B487" s="16"/>
    </row>
    <row r="488">
      <c r="B488" s="16"/>
    </row>
    <row r="489">
      <c r="B489" s="16"/>
    </row>
    <row r="490">
      <c r="B490" s="16"/>
    </row>
    <row r="491">
      <c r="B491" s="16"/>
    </row>
    <row r="492">
      <c r="B492" s="16"/>
    </row>
    <row r="493">
      <c r="B493" s="16"/>
    </row>
    <row r="494">
      <c r="B494" s="16"/>
    </row>
    <row r="495">
      <c r="B495" s="16"/>
    </row>
    <row r="496">
      <c r="B496" s="16"/>
    </row>
    <row r="497">
      <c r="B497" s="16"/>
    </row>
    <row r="498">
      <c r="B498" s="16"/>
    </row>
    <row r="499">
      <c r="B499" s="16"/>
    </row>
    <row r="500">
      <c r="B500" s="16"/>
    </row>
    <row r="501">
      <c r="B501" s="16"/>
    </row>
    <row r="502">
      <c r="B502" s="16"/>
    </row>
    <row r="503">
      <c r="B503" s="16"/>
    </row>
    <row r="504">
      <c r="B504" s="16"/>
    </row>
    <row r="505">
      <c r="B505" s="16"/>
    </row>
    <row r="506">
      <c r="B506" s="16"/>
    </row>
    <row r="507">
      <c r="B507" s="16"/>
    </row>
    <row r="508">
      <c r="B508" s="16"/>
    </row>
    <row r="509">
      <c r="B509" s="16"/>
    </row>
    <row r="510">
      <c r="B510" s="16"/>
    </row>
    <row r="511">
      <c r="B511" s="16"/>
    </row>
    <row r="512">
      <c r="B512" s="16"/>
    </row>
    <row r="513">
      <c r="B513" s="16"/>
    </row>
    <row r="514">
      <c r="B514" s="16"/>
    </row>
    <row r="515">
      <c r="B515" s="16"/>
    </row>
    <row r="516">
      <c r="B516" s="16"/>
    </row>
    <row r="517">
      <c r="B517" s="16"/>
    </row>
    <row r="518">
      <c r="B518" s="16"/>
    </row>
    <row r="519">
      <c r="B519" s="16"/>
    </row>
    <row r="520">
      <c r="B520" s="16"/>
    </row>
    <row r="521">
      <c r="B521" s="16"/>
    </row>
    <row r="522">
      <c r="B522" s="16"/>
    </row>
    <row r="523">
      <c r="B523" s="16"/>
    </row>
    <row r="524">
      <c r="B524" s="16"/>
    </row>
    <row r="525">
      <c r="B525" s="16"/>
    </row>
    <row r="526">
      <c r="B526" s="16"/>
    </row>
    <row r="527">
      <c r="B527" s="16"/>
    </row>
    <row r="528">
      <c r="B528" s="16"/>
    </row>
    <row r="529">
      <c r="B529" s="16"/>
    </row>
    <row r="530">
      <c r="B530" s="16"/>
    </row>
    <row r="531">
      <c r="B531" s="16"/>
    </row>
    <row r="532">
      <c r="B532" s="16"/>
    </row>
    <row r="533">
      <c r="B533" s="16"/>
    </row>
    <row r="534">
      <c r="B534" s="16"/>
    </row>
    <row r="535">
      <c r="B535" s="16"/>
    </row>
    <row r="536">
      <c r="B536" s="16"/>
    </row>
    <row r="537">
      <c r="B537" s="16"/>
    </row>
    <row r="538">
      <c r="B538" s="16"/>
    </row>
    <row r="539">
      <c r="B539" s="16"/>
    </row>
    <row r="540">
      <c r="B540" s="16"/>
    </row>
    <row r="541">
      <c r="B541" s="16"/>
    </row>
    <row r="542">
      <c r="B542" s="16"/>
    </row>
    <row r="543">
      <c r="B543" s="16"/>
    </row>
    <row r="544">
      <c r="B544" s="16"/>
    </row>
    <row r="545">
      <c r="B545" s="16"/>
    </row>
    <row r="546">
      <c r="B546" s="16"/>
    </row>
    <row r="547">
      <c r="B547" s="16"/>
    </row>
    <row r="548">
      <c r="B548" s="16"/>
    </row>
    <row r="549">
      <c r="B549" s="16"/>
    </row>
    <row r="550">
      <c r="B550" s="16"/>
    </row>
    <row r="551">
      <c r="B551" s="16"/>
    </row>
    <row r="552">
      <c r="B552" s="16"/>
    </row>
    <row r="553">
      <c r="B553" s="16"/>
    </row>
    <row r="554">
      <c r="B554" s="16"/>
    </row>
    <row r="555">
      <c r="B555" s="16"/>
    </row>
    <row r="556">
      <c r="B556" s="16"/>
    </row>
    <row r="557">
      <c r="B557" s="16"/>
    </row>
    <row r="558">
      <c r="B558" s="16"/>
    </row>
    <row r="559">
      <c r="B559" s="16"/>
    </row>
    <row r="560">
      <c r="B560" s="16"/>
    </row>
    <row r="561">
      <c r="B561" s="16"/>
    </row>
    <row r="562">
      <c r="B562" s="16"/>
    </row>
    <row r="563">
      <c r="B563" s="16"/>
    </row>
    <row r="564">
      <c r="B564" s="16"/>
    </row>
    <row r="565">
      <c r="B565" s="16"/>
    </row>
    <row r="566">
      <c r="B566" s="16"/>
    </row>
    <row r="567">
      <c r="B567" s="16"/>
    </row>
    <row r="568">
      <c r="B568" s="16"/>
    </row>
    <row r="569">
      <c r="B569" s="16"/>
    </row>
    <row r="570">
      <c r="B570" s="16"/>
    </row>
    <row r="571">
      <c r="B571" s="16"/>
    </row>
    <row r="572">
      <c r="B572" s="16"/>
    </row>
    <row r="573">
      <c r="B573" s="16"/>
    </row>
    <row r="574">
      <c r="B574" s="16"/>
    </row>
    <row r="575">
      <c r="B575" s="16"/>
    </row>
    <row r="576">
      <c r="B576" s="16"/>
    </row>
    <row r="577">
      <c r="B577" s="16"/>
    </row>
    <row r="578">
      <c r="B578" s="16"/>
    </row>
    <row r="579">
      <c r="B579" s="16"/>
    </row>
    <row r="580">
      <c r="B580" s="16"/>
    </row>
    <row r="581">
      <c r="B581" s="16"/>
    </row>
    <row r="582">
      <c r="B582" s="16"/>
    </row>
    <row r="583">
      <c r="B583" s="16"/>
    </row>
    <row r="584">
      <c r="B584" s="16"/>
    </row>
    <row r="585">
      <c r="B585" s="16"/>
    </row>
    <row r="586">
      <c r="B586" s="16"/>
    </row>
    <row r="587">
      <c r="B587" s="16"/>
    </row>
    <row r="588">
      <c r="B588" s="16"/>
    </row>
    <row r="589">
      <c r="B589" s="16"/>
    </row>
    <row r="590">
      <c r="B590" s="16"/>
    </row>
    <row r="591">
      <c r="B591" s="16"/>
    </row>
    <row r="592">
      <c r="B592" s="16"/>
    </row>
    <row r="593">
      <c r="B593" s="16"/>
    </row>
    <row r="594">
      <c r="B594" s="16"/>
    </row>
    <row r="595">
      <c r="B595" s="16"/>
    </row>
    <row r="596">
      <c r="B596" s="16"/>
    </row>
    <row r="597">
      <c r="B597" s="16"/>
    </row>
    <row r="598">
      <c r="B598" s="16"/>
    </row>
    <row r="599">
      <c r="B599" s="16"/>
    </row>
    <row r="600">
      <c r="B600" s="16"/>
    </row>
    <row r="601">
      <c r="B601" s="16"/>
    </row>
    <row r="602">
      <c r="B602" s="16"/>
    </row>
    <row r="603">
      <c r="B603" s="16"/>
    </row>
    <row r="604">
      <c r="B604" s="16"/>
    </row>
    <row r="605">
      <c r="B605" s="16"/>
    </row>
    <row r="606">
      <c r="B606" s="16"/>
    </row>
    <row r="607">
      <c r="B607" s="16"/>
    </row>
    <row r="608">
      <c r="B608" s="16"/>
    </row>
    <row r="609">
      <c r="B609" s="16"/>
    </row>
    <row r="610">
      <c r="B610" s="16"/>
    </row>
    <row r="611">
      <c r="B611" s="16"/>
    </row>
    <row r="612">
      <c r="B612" s="16"/>
    </row>
    <row r="613">
      <c r="B613" s="16"/>
    </row>
    <row r="614">
      <c r="B614" s="16"/>
    </row>
    <row r="615">
      <c r="B615" s="16"/>
    </row>
    <row r="616">
      <c r="B616" s="16"/>
    </row>
    <row r="617">
      <c r="B617" s="16"/>
    </row>
    <row r="618">
      <c r="B618" s="16"/>
    </row>
    <row r="619">
      <c r="B619" s="16"/>
    </row>
    <row r="620">
      <c r="B620" s="16"/>
    </row>
    <row r="621">
      <c r="B621" s="16"/>
    </row>
    <row r="622">
      <c r="B622" s="16"/>
    </row>
    <row r="623">
      <c r="B623" s="16"/>
    </row>
    <row r="624">
      <c r="B624" s="16"/>
    </row>
    <row r="625">
      <c r="B625" s="16"/>
    </row>
    <row r="626">
      <c r="B626" s="16"/>
    </row>
    <row r="627">
      <c r="B627" s="16"/>
    </row>
    <row r="628">
      <c r="B628" s="16"/>
    </row>
    <row r="629">
      <c r="B629" s="16"/>
    </row>
    <row r="630">
      <c r="B630" s="16"/>
    </row>
    <row r="631">
      <c r="B631" s="16"/>
    </row>
    <row r="632">
      <c r="B632" s="16"/>
    </row>
    <row r="633">
      <c r="B633" s="16"/>
    </row>
    <row r="634">
      <c r="B634" s="16"/>
    </row>
    <row r="635">
      <c r="B635" s="16"/>
    </row>
    <row r="636">
      <c r="B636" s="16"/>
    </row>
    <row r="637">
      <c r="B637" s="16"/>
    </row>
    <row r="638">
      <c r="B638" s="16"/>
    </row>
    <row r="639">
      <c r="B639" s="16"/>
    </row>
    <row r="640">
      <c r="B640" s="16"/>
    </row>
    <row r="641">
      <c r="B641" s="16"/>
    </row>
    <row r="642">
      <c r="B642" s="16"/>
    </row>
    <row r="643">
      <c r="B643" s="16"/>
    </row>
    <row r="644">
      <c r="B644" s="16"/>
    </row>
    <row r="645">
      <c r="B645" s="16"/>
    </row>
    <row r="646">
      <c r="B646" s="16"/>
    </row>
    <row r="647">
      <c r="B647" s="16"/>
    </row>
    <row r="648">
      <c r="B648" s="16"/>
    </row>
    <row r="649">
      <c r="B649" s="16"/>
    </row>
    <row r="650">
      <c r="B650" s="16"/>
    </row>
    <row r="651">
      <c r="B651" s="16"/>
    </row>
    <row r="652">
      <c r="B652" s="16"/>
    </row>
    <row r="653">
      <c r="B653" s="16"/>
    </row>
    <row r="654">
      <c r="B654" s="16"/>
    </row>
    <row r="655">
      <c r="B655" s="16"/>
    </row>
    <row r="656">
      <c r="B656" s="16"/>
    </row>
    <row r="657">
      <c r="B657" s="16"/>
    </row>
    <row r="658">
      <c r="B658" s="16"/>
    </row>
    <row r="659">
      <c r="B659" s="16"/>
    </row>
    <row r="660">
      <c r="B660" s="16"/>
    </row>
    <row r="661">
      <c r="B661" s="16"/>
    </row>
    <row r="662">
      <c r="B662" s="16"/>
    </row>
    <row r="663">
      <c r="B663" s="16"/>
    </row>
    <row r="664">
      <c r="B664" s="16"/>
    </row>
    <row r="665">
      <c r="B665" s="16"/>
    </row>
    <row r="666">
      <c r="B666" s="16"/>
    </row>
    <row r="667">
      <c r="B667" s="16"/>
    </row>
    <row r="668">
      <c r="B668" s="16"/>
    </row>
    <row r="669">
      <c r="B669" s="16"/>
    </row>
    <row r="670">
      <c r="B670" s="16"/>
    </row>
    <row r="671">
      <c r="B671" s="16"/>
    </row>
    <row r="672">
      <c r="B672" s="16"/>
    </row>
    <row r="673">
      <c r="B673" s="16"/>
    </row>
    <row r="674">
      <c r="B674" s="16"/>
    </row>
    <row r="675">
      <c r="B675" s="16"/>
    </row>
    <row r="676">
      <c r="B676" s="16"/>
    </row>
    <row r="677">
      <c r="B677" s="16"/>
    </row>
    <row r="678">
      <c r="B678" s="16"/>
    </row>
    <row r="679">
      <c r="B679" s="16"/>
    </row>
    <row r="680">
      <c r="B680" s="16"/>
    </row>
    <row r="681">
      <c r="B681" s="16"/>
    </row>
    <row r="682">
      <c r="B682" s="16"/>
    </row>
    <row r="683">
      <c r="B683" s="16"/>
    </row>
    <row r="684">
      <c r="B684" s="16"/>
    </row>
    <row r="685">
      <c r="B685" s="16"/>
    </row>
    <row r="686">
      <c r="B686" s="16"/>
    </row>
    <row r="687">
      <c r="B687" s="16"/>
    </row>
    <row r="688">
      <c r="B688" s="16"/>
    </row>
    <row r="689">
      <c r="B689" s="16"/>
    </row>
    <row r="690">
      <c r="B690" s="16"/>
    </row>
    <row r="691">
      <c r="B691" s="16"/>
    </row>
    <row r="692">
      <c r="B692" s="16"/>
    </row>
    <row r="693">
      <c r="B693" s="16"/>
    </row>
    <row r="694">
      <c r="B694" s="16"/>
    </row>
    <row r="695">
      <c r="B695" s="16"/>
    </row>
    <row r="696">
      <c r="B696" s="16"/>
    </row>
    <row r="697">
      <c r="B697" s="16"/>
    </row>
    <row r="698">
      <c r="B698" s="16"/>
    </row>
    <row r="699">
      <c r="B699" s="16"/>
    </row>
    <row r="700">
      <c r="B700" s="16"/>
    </row>
    <row r="701">
      <c r="B701" s="16"/>
    </row>
    <row r="702">
      <c r="B702" s="16"/>
    </row>
    <row r="703">
      <c r="B703" s="16"/>
    </row>
    <row r="704">
      <c r="B704" s="16"/>
    </row>
    <row r="705">
      <c r="B705" s="16"/>
    </row>
    <row r="706">
      <c r="B706" s="16"/>
    </row>
    <row r="707">
      <c r="B707" s="16"/>
    </row>
    <row r="708">
      <c r="B708" s="16"/>
    </row>
    <row r="709">
      <c r="B709" s="16"/>
    </row>
    <row r="710">
      <c r="B710" s="16"/>
    </row>
    <row r="711">
      <c r="B711" s="16"/>
    </row>
    <row r="712">
      <c r="B712" s="16"/>
    </row>
    <row r="713">
      <c r="B713" s="16"/>
    </row>
    <row r="714">
      <c r="B714" s="16"/>
    </row>
    <row r="715">
      <c r="B715" s="16"/>
    </row>
    <row r="716">
      <c r="B716" s="16"/>
    </row>
    <row r="717">
      <c r="B717" s="16"/>
    </row>
    <row r="718">
      <c r="B718" s="16"/>
    </row>
    <row r="719">
      <c r="B719" s="16"/>
    </row>
    <row r="720">
      <c r="B720" s="16"/>
    </row>
    <row r="721">
      <c r="B721" s="16"/>
    </row>
    <row r="722">
      <c r="B722" s="16"/>
    </row>
    <row r="723">
      <c r="B723" s="16"/>
    </row>
    <row r="724">
      <c r="B724" s="16"/>
    </row>
    <row r="725">
      <c r="B725" s="16"/>
    </row>
    <row r="726">
      <c r="B726" s="16"/>
    </row>
    <row r="727">
      <c r="B727" s="16"/>
    </row>
    <row r="728">
      <c r="B728" s="16"/>
    </row>
    <row r="729">
      <c r="B729" s="16"/>
    </row>
    <row r="730">
      <c r="B730" s="16"/>
    </row>
    <row r="731">
      <c r="B731" s="16"/>
    </row>
    <row r="732">
      <c r="B732" s="16"/>
    </row>
    <row r="733">
      <c r="B733" s="16"/>
    </row>
    <row r="734">
      <c r="B734" s="16"/>
    </row>
    <row r="735">
      <c r="B735" s="16"/>
    </row>
    <row r="736">
      <c r="B736" s="16"/>
    </row>
    <row r="737">
      <c r="B737" s="16"/>
    </row>
    <row r="738">
      <c r="B738" s="16"/>
    </row>
    <row r="739">
      <c r="B739" s="16"/>
    </row>
    <row r="740">
      <c r="B740" s="16"/>
    </row>
    <row r="741">
      <c r="B741" s="16"/>
    </row>
    <row r="742">
      <c r="B742" s="16"/>
    </row>
    <row r="743">
      <c r="B743" s="16"/>
    </row>
    <row r="744">
      <c r="B744" s="16"/>
    </row>
    <row r="745">
      <c r="B745" s="16"/>
    </row>
    <row r="746">
      <c r="B746" s="16"/>
    </row>
    <row r="747">
      <c r="B747" s="16"/>
    </row>
    <row r="748">
      <c r="B748" s="16"/>
    </row>
    <row r="749">
      <c r="B749" s="16"/>
    </row>
    <row r="750">
      <c r="B750" s="16"/>
    </row>
    <row r="751">
      <c r="B751" s="16"/>
    </row>
    <row r="752">
      <c r="B752" s="16"/>
    </row>
    <row r="753">
      <c r="B753" s="16"/>
    </row>
    <row r="754">
      <c r="B754" s="16"/>
    </row>
    <row r="755">
      <c r="B755" s="16"/>
    </row>
    <row r="756">
      <c r="B756" s="16"/>
    </row>
    <row r="757">
      <c r="B757" s="16"/>
    </row>
    <row r="758">
      <c r="B758" s="16"/>
    </row>
    <row r="759">
      <c r="B759" s="16"/>
    </row>
    <row r="760">
      <c r="B760" s="16"/>
    </row>
    <row r="761">
      <c r="B761" s="16"/>
    </row>
    <row r="762">
      <c r="B762" s="16"/>
    </row>
    <row r="763">
      <c r="B763" s="16"/>
    </row>
    <row r="764">
      <c r="B764" s="16"/>
    </row>
    <row r="765">
      <c r="B765" s="16"/>
    </row>
    <row r="766">
      <c r="B766" s="16"/>
    </row>
    <row r="767">
      <c r="B767" s="16"/>
    </row>
    <row r="768">
      <c r="B768" s="16"/>
    </row>
    <row r="769">
      <c r="B769" s="16"/>
    </row>
    <row r="770">
      <c r="B770" s="16"/>
    </row>
    <row r="771">
      <c r="B771" s="16"/>
    </row>
    <row r="772">
      <c r="B772" s="16"/>
    </row>
    <row r="773">
      <c r="B773" s="16"/>
    </row>
    <row r="774">
      <c r="B774" s="16"/>
    </row>
    <row r="775">
      <c r="B775" s="16"/>
    </row>
    <row r="776">
      <c r="B776" s="16"/>
    </row>
    <row r="777">
      <c r="B777" s="16"/>
    </row>
    <row r="778">
      <c r="B778" s="16"/>
    </row>
    <row r="779">
      <c r="B779" s="16"/>
    </row>
    <row r="780">
      <c r="B780" s="16"/>
    </row>
    <row r="781">
      <c r="B781" s="16"/>
    </row>
    <row r="782">
      <c r="B782" s="16"/>
    </row>
    <row r="783">
      <c r="B783" s="16"/>
    </row>
    <row r="784">
      <c r="B784" s="16"/>
    </row>
    <row r="785">
      <c r="B785" s="16"/>
    </row>
    <row r="786">
      <c r="B786" s="16"/>
    </row>
    <row r="787">
      <c r="B787" s="16"/>
    </row>
    <row r="788">
      <c r="B788" s="16"/>
    </row>
    <row r="789">
      <c r="B789" s="16"/>
    </row>
    <row r="790">
      <c r="B790" s="16"/>
    </row>
    <row r="791">
      <c r="B791" s="16"/>
    </row>
    <row r="792">
      <c r="B792" s="16"/>
    </row>
    <row r="793">
      <c r="B793" s="16"/>
    </row>
    <row r="794">
      <c r="B794" s="16"/>
    </row>
    <row r="795">
      <c r="B795" s="16"/>
    </row>
    <row r="796">
      <c r="B796" s="16"/>
    </row>
    <row r="797">
      <c r="B797" s="16"/>
    </row>
    <row r="798">
      <c r="B798" s="16"/>
    </row>
    <row r="799">
      <c r="B799" s="16"/>
    </row>
    <row r="800">
      <c r="B800" s="16"/>
    </row>
    <row r="801">
      <c r="B801" s="16"/>
    </row>
    <row r="802">
      <c r="B802" s="16"/>
    </row>
    <row r="803">
      <c r="B803" s="16"/>
    </row>
    <row r="804">
      <c r="B804" s="16"/>
    </row>
    <row r="805">
      <c r="B805" s="16"/>
    </row>
    <row r="806">
      <c r="B806" s="16"/>
    </row>
    <row r="807">
      <c r="B807" s="16"/>
    </row>
    <row r="808">
      <c r="B808" s="16"/>
    </row>
    <row r="809">
      <c r="B809" s="16"/>
    </row>
    <row r="810">
      <c r="B810" s="16"/>
    </row>
    <row r="811">
      <c r="B811" s="16"/>
    </row>
    <row r="812">
      <c r="B812" s="16"/>
    </row>
    <row r="813">
      <c r="B813" s="16"/>
    </row>
    <row r="814">
      <c r="B814" s="16"/>
    </row>
    <row r="815">
      <c r="B815" s="16"/>
    </row>
    <row r="816">
      <c r="B816" s="16"/>
    </row>
    <row r="817">
      <c r="B817" s="16"/>
    </row>
    <row r="818">
      <c r="B818" s="16"/>
    </row>
    <row r="819">
      <c r="B819" s="16"/>
    </row>
    <row r="820">
      <c r="B820" s="16"/>
    </row>
    <row r="821">
      <c r="B821" s="16"/>
    </row>
    <row r="822">
      <c r="B822" s="16"/>
    </row>
    <row r="823">
      <c r="B823" s="16"/>
    </row>
    <row r="824">
      <c r="B824" s="16"/>
    </row>
    <row r="825">
      <c r="B825" s="16"/>
    </row>
    <row r="826">
      <c r="B826" s="16"/>
    </row>
    <row r="827">
      <c r="B827" s="16"/>
    </row>
    <row r="828">
      <c r="B828" s="16"/>
    </row>
    <row r="829">
      <c r="B829" s="16"/>
    </row>
    <row r="830">
      <c r="B830" s="16"/>
    </row>
    <row r="831">
      <c r="B831" s="16"/>
    </row>
    <row r="832">
      <c r="B832" s="16"/>
    </row>
    <row r="833">
      <c r="B833" s="16"/>
    </row>
    <row r="834">
      <c r="B834" s="16"/>
    </row>
    <row r="835">
      <c r="B835" s="16"/>
    </row>
    <row r="836">
      <c r="B836" s="16"/>
    </row>
    <row r="837">
      <c r="B837" s="16"/>
    </row>
    <row r="838">
      <c r="B838" s="16"/>
    </row>
    <row r="839">
      <c r="B839" s="16"/>
    </row>
    <row r="840">
      <c r="B840" s="16"/>
    </row>
    <row r="841">
      <c r="B841" s="16"/>
    </row>
    <row r="842">
      <c r="B842" s="16"/>
    </row>
    <row r="843">
      <c r="B843" s="16"/>
    </row>
    <row r="844">
      <c r="B844" s="16"/>
    </row>
    <row r="845">
      <c r="B845" s="16"/>
    </row>
    <row r="846">
      <c r="B846" s="16"/>
    </row>
    <row r="847">
      <c r="B847" s="16"/>
    </row>
    <row r="848">
      <c r="B848" s="16"/>
    </row>
    <row r="849">
      <c r="B849" s="16"/>
    </row>
    <row r="850">
      <c r="B850" s="16"/>
    </row>
    <row r="851">
      <c r="B851" s="16"/>
    </row>
    <row r="852">
      <c r="B852" s="16"/>
    </row>
    <row r="853">
      <c r="B853" s="16"/>
    </row>
    <row r="854">
      <c r="B854" s="16"/>
    </row>
    <row r="855">
      <c r="B855" s="16"/>
    </row>
    <row r="856">
      <c r="B856" s="16"/>
    </row>
    <row r="857">
      <c r="B857" s="16"/>
    </row>
    <row r="858">
      <c r="B858" s="16"/>
    </row>
    <row r="859">
      <c r="B859" s="16"/>
    </row>
    <row r="860">
      <c r="B860" s="16"/>
    </row>
    <row r="861">
      <c r="B861" s="16"/>
    </row>
    <row r="862">
      <c r="B862" s="16"/>
    </row>
    <row r="863">
      <c r="B863" s="16"/>
    </row>
    <row r="864">
      <c r="B864" s="16"/>
    </row>
    <row r="865">
      <c r="B865" s="16"/>
    </row>
    <row r="866">
      <c r="B866" s="16"/>
    </row>
    <row r="867">
      <c r="B867" s="16"/>
    </row>
    <row r="868">
      <c r="B868" s="16"/>
    </row>
    <row r="869">
      <c r="B869" s="16"/>
    </row>
    <row r="870">
      <c r="B870" s="16"/>
    </row>
    <row r="871">
      <c r="B871" s="16"/>
    </row>
    <row r="872">
      <c r="B872" s="16"/>
    </row>
    <row r="873">
      <c r="B873" s="16"/>
    </row>
    <row r="874">
      <c r="B874" s="16"/>
    </row>
    <row r="875">
      <c r="B875" s="16"/>
    </row>
    <row r="876">
      <c r="B876" s="16"/>
    </row>
    <row r="877">
      <c r="B877" s="16"/>
    </row>
    <row r="878">
      <c r="B878" s="16"/>
    </row>
    <row r="879">
      <c r="B879" s="16"/>
    </row>
    <row r="880">
      <c r="B880" s="16"/>
    </row>
    <row r="881">
      <c r="B881" s="16"/>
    </row>
    <row r="882">
      <c r="B882" s="16"/>
    </row>
    <row r="883">
      <c r="B883" s="16"/>
    </row>
    <row r="884">
      <c r="B884" s="16"/>
    </row>
    <row r="885">
      <c r="B885" s="16"/>
    </row>
    <row r="886">
      <c r="B886" s="16"/>
    </row>
    <row r="887">
      <c r="B887" s="16"/>
    </row>
    <row r="888">
      <c r="B888" s="16"/>
    </row>
    <row r="889">
      <c r="B889" s="16"/>
    </row>
    <row r="890">
      <c r="B890" s="16"/>
    </row>
    <row r="891">
      <c r="B891" s="16"/>
    </row>
    <row r="892">
      <c r="B892" s="16"/>
    </row>
    <row r="893">
      <c r="B893" s="16"/>
    </row>
    <row r="894">
      <c r="B894" s="16"/>
    </row>
    <row r="895">
      <c r="B895" s="16"/>
    </row>
    <row r="896">
      <c r="B896" s="16"/>
    </row>
    <row r="897">
      <c r="B897" s="16"/>
    </row>
    <row r="898">
      <c r="B898" s="16"/>
    </row>
    <row r="899">
      <c r="B899" s="16"/>
    </row>
    <row r="900">
      <c r="B900" s="16"/>
    </row>
    <row r="901">
      <c r="B901" s="16"/>
    </row>
    <row r="902">
      <c r="B902" s="16"/>
    </row>
    <row r="903">
      <c r="B903" s="16"/>
    </row>
    <row r="904">
      <c r="B904" s="16"/>
    </row>
    <row r="905">
      <c r="B905" s="16"/>
    </row>
    <row r="906">
      <c r="B906" s="16"/>
    </row>
    <row r="907">
      <c r="B907" s="16"/>
    </row>
    <row r="908">
      <c r="B908" s="16"/>
    </row>
    <row r="909">
      <c r="B909" s="16"/>
    </row>
    <row r="910">
      <c r="B910" s="16"/>
    </row>
    <row r="911">
      <c r="B911" s="16"/>
    </row>
    <row r="912">
      <c r="B912" s="16"/>
    </row>
    <row r="913">
      <c r="B913" s="16"/>
    </row>
    <row r="914">
      <c r="B914" s="16"/>
    </row>
    <row r="915">
      <c r="B915" s="16"/>
    </row>
    <row r="916">
      <c r="B916" s="16"/>
    </row>
    <row r="917">
      <c r="B917" s="16"/>
    </row>
    <row r="918">
      <c r="B918" s="16"/>
    </row>
    <row r="919">
      <c r="B919" s="16"/>
    </row>
    <row r="920">
      <c r="B920" s="16"/>
    </row>
    <row r="921">
      <c r="B921" s="16"/>
    </row>
    <row r="922">
      <c r="B922" s="16"/>
    </row>
    <row r="923">
      <c r="B923" s="16"/>
    </row>
    <row r="924">
      <c r="B924" s="16"/>
    </row>
    <row r="925">
      <c r="B925" s="16"/>
    </row>
    <row r="926">
      <c r="B926" s="16"/>
    </row>
    <row r="927">
      <c r="B927" s="16"/>
    </row>
    <row r="928">
      <c r="B928" s="16"/>
    </row>
    <row r="929">
      <c r="B929" s="16"/>
    </row>
    <row r="930">
      <c r="B930" s="16"/>
    </row>
    <row r="931">
      <c r="B931" s="16"/>
    </row>
    <row r="932">
      <c r="B932" s="16"/>
    </row>
    <row r="933">
      <c r="B933" s="16"/>
    </row>
    <row r="934">
      <c r="B934" s="16"/>
    </row>
    <row r="935">
      <c r="B935" s="16"/>
    </row>
    <row r="936">
      <c r="B936" s="16"/>
    </row>
    <row r="937">
      <c r="B937" s="16"/>
    </row>
    <row r="938">
      <c r="B938" s="16"/>
    </row>
    <row r="939">
      <c r="B939" s="16"/>
    </row>
    <row r="940">
      <c r="B940" s="16"/>
    </row>
    <row r="941">
      <c r="B941" s="16"/>
    </row>
    <row r="942">
      <c r="B942" s="16"/>
    </row>
    <row r="943">
      <c r="B943" s="16"/>
    </row>
    <row r="944">
      <c r="B944" s="16"/>
    </row>
    <row r="945">
      <c r="B945" s="16"/>
    </row>
    <row r="946">
      <c r="B946" s="16"/>
    </row>
    <row r="947">
      <c r="B947" s="16"/>
    </row>
    <row r="948">
      <c r="B948" s="16"/>
    </row>
    <row r="949">
      <c r="B949" s="16"/>
    </row>
    <row r="950">
      <c r="B950" s="16"/>
    </row>
    <row r="951">
      <c r="B951" s="16"/>
    </row>
    <row r="952">
      <c r="B952" s="16"/>
    </row>
    <row r="953">
      <c r="B953" s="16"/>
    </row>
    <row r="954">
      <c r="B954" s="16"/>
    </row>
    <row r="955">
      <c r="B955" s="16"/>
    </row>
    <row r="956">
      <c r="B956" s="16"/>
    </row>
    <row r="957">
      <c r="B957" s="16"/>
    </row>
    <row r="958">
      <c r="B958" s="16"/>
    </row>
    <row r="959">
      <c r="B959" s="16"/>
    </row>
    <row r="960">
      <c r="B960" s="16"/>
    </row>
    <row r="961">
      <c r="B961" s="16"/>
    </row>
    <row r="962">
      <c r="B962" s="16"/>
    </row>
    <row r="963">
      <c r="B963" s="16"/>
    </row>
    <row r="964">
      <c r="B964" s="16"/>
    </row>
    <row r="965">
      <c r="B965" s="16"/>
    </row>
    <row r="966">
      <c r="B966" s="16"/>
    </row>
    <row r="967">
      <c r="B967" s="16"/>
    </row>
    <row r="968">
      <c r="B968" s="16"/>
    </row>
    <row r="969">
      <c r="B969" s="16"/>
    </row>
    <row r="970">
      <c r="B970" s="16"/>
    </row>
    <row r="971">
      <c r="B971" s="16"/>
    </row>
    <row r="972">
      <c r="B972" s="16"/>
    </row>
    <row r="973">
      <c r="B973" s="16"/>
    </row>
    <row r="974">
      <c r="B974" s="16"/>
    </row>
    <row r="975">
      <c r="B975" s="16"/>
    </row>
    <row r="976">
      <c r="B976" s="16"/>
    </row>
    <row r="977">
      <c r="B977" s="16"/>
    </row>
    <row r="978">
      <c r="B978" s="16"/>
    </row>
    <row r="979">
      <c r="B979" s="16"/>
    </row>
    <row r="980">
      <c r="B980" s="16"/>
    </row>
    <row r="981">
      <c r="B981" s="16"/>
    </row>
    <row r="982">
      <c r="B982" s="16"/>
    </row>
    <row r="983">
      <c r="B983" s="16"/>
    </row>
    <row r="984">
      <c r="B984" s="16"/>
    </row>
    <row r="985">
      <c r="B985" s="16"/>
    </row>
    <row r="986">
      <c r="B986" s="16"/>
    </row>
    <row r="987">
      <c r="B987" s="16"/>
    </row>
    <row r="988">
      <c r="B988" s="16"/>
    </row>
    <row r="989">
      <c r="B989" s="16"/>
    </row>
    <row r="990">
      <c r="B990" s="16"/>
    </row>
    <row r="991">
      <c r="B991" s="16"/>
    </row>
    <row r="992">
      <c r="B992" s="16"/>
    </row>
    <row r="993">
      <c r="B993" s="16"/>
    </row>
    <row r="994">
      <c r="B994" s="16"/>
    </row>
    <row r="995">
      <c r="B995" s="16"/>
    </row>
    <row r="996">
      <c r="B996" s="16"/>
    </row>
    <row r="997">
      <c r="B997" s="16"/>
    </row>
    <row r="998">
      <c r="B998" s="16"/>
    </row>
    <row r="999">
      <c r="B999" s="16"/>
    </row>
    <row r="1000">
      <c r="B1000" s="16"/>
    </row>
    <row r="1001">
      <c r="B1001" s="16"/>
    </row>
    <row r="1002">
      <c r="B1002" s="16"/>
    </row>
    <row r="1003">
      <c r="B1003"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1.22" defaultRowHeight="15.75"/>
  <cols>
    <col customWidth="1" min="1" max="1" width="8.78"/>
    <col customWidth="1" min="2" max="2" width="2.89"/>
    <col customWidth="1" min="3" max="3" width="10.56"/>
    <col customWidth="1" min="4" max="4" width="9.67"/>
    <col customWidth="1" min="5" max="8" width="9.33"/>
    <col customWidth="1" min="9" max="9" width="1.0"/>
    <col customWidth="1" min="10" max="11" width="9.33"/>
    <col customWidth="1" min="15" max="15" width="14.33"/>
  </cols>
  <sheetData>
    <row r="1">
      <c r="A1" s="17" t="s">
        <v>464</v>
      </c>
      <c r="B1" s="18" t="s">
        <v>11</v>
      </c>
      <c r="C1" s="18" t="s">
        <v>465</v>
      </c>
      <c r="D1" s="19"/>
      <c r="E1" s="19"/>
      <c r="F1" s="19"/>
      <c r="G1" s="19"/>
      <c r="O1" s="12" t="s">
        <v>25</v>
      </c>
    </row>
    <row r="2">
      <c r="A2" s="15" t="s">
        <v>466</v>
      </c>
      <c r="B2" s="18" t="s">
        <v>467</v>
      </c>
      <c r="C2" s="18">
        <v>23.0</v>
      </c>
      <c r="D2" s="19"/>
      <c r="E2" s="19"/>
      <c r="F2" s="19"/>
      <c r="G2" s="19"/>
      <c r="O2" s="12" t="s">
        <v>40</v>
      </c>
    </row>
    <row r="3">
      <c r="A3" s="15" t="s">
        <v>468</v>
      </c>
      <c r="B3" s="18" t="s">
        <v>469</v>
      </c>
      <c r="C3" s="18">
        <v>16.0</v>
      </c>
      <c r="D3" s="19"/>
      <c r="E3" s="19"/>
      <c r="F3" s="19"/>
      <c r="G3" s="19"/>
      <c r="O3" s="12" t="s">
        <v>51</v>
      </c>
    </row>
    <row r="4">
      <c r="A4" s="15" t="s">
        <v>470</v>
      </c>
      <c r="B4" s="18" t="s">
        <v>471</v>
      </c>
      <c r="C4" s="18">
        <v>6.0</v>
      </c>
      <c r="D4" s="19"/>
      <c r="E4" s="19"/>
      <c r="F4" s="19"/>
      <c r="G4" s="19"/>
      <c r="O4" s="12" t="s">
        <v>25</v>
      </c>
    </row>
    <row r="5">
      <c r="A5" s="15" t="s">
        <v>472</v>
      </c>
      <c r="B5" s="18" t="s">
        <v>473</v>
      </c>
      <c r="C5" s="18">
        <v>5.0</v>
      </c>
      <c r="D5" s="19"/>
      <c r="E5" s="19"/>
      <c r="F5" s="19"/>
      <c r="G5" s="19"/>
      <c r="O5" s="12" t="s">
        <v>25</v>
      </c>
    </row>
    <row r="6">
      <c r="A6" s="15" t="s">
        <v>474</v>
      </c>
      <c r="B6" s="18" t="s">
        <v>475</v>
      </c>
      <c r="C6" s="18">
        <v>2.0</v>
      </c>
      <c r="D6" s="19"/>
      <c r="E6" s="19"/>
      <c r="F6" s="19"/>
      <c r="G6" s="19"/>
      <c r="O6" s="12" t="s">
        <v>40</v>
      </c>
    </row>
    <row r="7">
      <c r="A7" s="15" t="s">
        <v>476</v>
      </c>
      <c r="B7" s="18" t="s">
        <v>477</v>
      </c>
      <c r="C7" s="18">
        <v>1.0</v>
      </c>
      <c r="D7" s="19"/>
      <c r="E7" s="19"/>
      <c r="F7" s="19"/>
      <c r="G7" s="19"/>
      <c r="O7" s="12" t="s">
        <v>51</v>
      </c>
    </row>
    <row r="8">
      <c r="A8" s="15" t="s">
        <v>478</v>
      </c>
      <c r="B8" s="18" t="s">
        <v>479</v>
      </c>
      <c r="C8" s="18">
        <v>1.0</v>
      </c>
      <c r="D8" s="19"/>
      <c r="E8" s="19"/>
      <c r="F8" s="19"/>
      <c r="G8" s="19"/>
      <c r="O8" s="12" t="s">
        <v>98</v>
      </c>
    </row>
    <row r="9">
      <c r="A9" s="15" t="s">
        <v>480</v>
      </c>
      <c r="B9" s="18" t="s">
        <v>481</v>
      </c>
      <c r="C9" s="18">
        <v>1.0</v>
      </c>
      <c r="D9" s="19"/>
      <c r="E9" s="19"/>
      <c r="F9" s="19"/>
      <c r="G9" s="19"/>
      <c r="O9" s="12" t="s">
        <v>98</v>
      </c>
    </row>
    <row r="10">
      <c r="A10" s="15" t="s">
        <v>482</v>
      </c>
      <c r="B10" s="18" t="s">
        <v>483</v>
      </c>
      <c r="C10" s="18">
        <v>1.0</v>
      </c>
      <c r="D10" s="19"/>
      <c r="E10" s="19"/>
      <c r="F10" s="19"/>
      <c r="G10" s="19"/>
      <c r="O10" s="12" t="s">
        <v>98</v>
      </c>
    </row>
    <row r="11">
      <c r="A11" s="15" t="s">
        <v>484</v>
      </c>
      <c r="B11" s="18" t="s">
        <v>485</v>
      </c>
      <c r="C11" s="18">
        <v>1.0</v>
      </c>
      <c r="D11" s="19"/>
      <c r="E11" s="19"/>
      <c r="F11" s="19"/>
      <c r="G11" s="19"/>
      <c r="O11" s="12" t="s">
        <v>98</v>
      </c>
    </row>
    <row r="12">
      <c r="A12" s="15" t="s">
        <v>486</v>
      </c>
      <c r="B12" s="18" t="s">
        <v>487</v>
      </c>
      <c r="C12" s="18">
        <v>1.0</v>
      </c>
      <c r="D12" s="19"/>
      <c r="E12" s="19"/>
      <c r="F12" s="19"/>
      <c r="G12" s="19"/>
      <c r="O12" s="12" t="s">
        <v>98</v>
      </c>
    </row>
    <row r="13">
      <c r="A13" s="15" t="s">
        <v>488</v>
      </c>
      <c r="B13" s="18" t="s">
        <v>489</v>
      </c>
      <c r="C13" s="18">
        <v>1.0</v>
      </c>
      <c r="D13" s="19"/>
      <c r="E13" s="19"/>
      <c r="F13" s="19"/>
      <c r="G13" s="19"/>
      <c r="O13" s="12" t="s">
        <v>134</v>
      </c>
    </row>
    <row r="14">
      <c r="A14" s="15" t="s">
        <v>490</v>
      </c>
      <c r="B14" s="18" t="s">
        <v>491</v>
      </c>
      <c r="C14" s="18">
        <v>1.0</v>
      </c>
      <c r="D14" s="19"/>
      <c r="E14" s="19"/>
      <c r="F14" s="19"/>
      <c r="G14" s="19"/>
      <c r="O14" s="12" t="s">
        <v>98</v>
      </c>
    </row>
    <row r="15">
      <c r="A15" s="15" t="s">
        <v>492</v>
      </c>
      <c r="B15" s="18" t="s">
        <v>493</v>
      </c>
      <c r="C15" s="18">
        <v>1.0</v>
      </c>
      <c r="D15" s="19"/>
      <c r="E15" s="19"/>
      <c r="F15" s="19"/>
      <c r="G15" s="19"/>
      <c r="O15" s="12" t="s">
        <v>40</v>
      </c>
    </row>
    <row r="16">
      <c r="A16" s="15" t="s">
        <v>494</v>
      </c>
      <c r="B16" s="18" t="s">
        <v>495</v>
      </c>
      <c r="C16" s="18">
        <v>1.0</v>
      </c>
      <c r="D16" s="19"/>
      <c r="E16" s="19"/>
      <c r="F16" s="19"/>
      <c r="G16" s="19"/>
      <c r="O16" s="12" t="s">
        <v>40</v>
      </c>
    </row>
    <row r="17">
      <c r="B17" s="20"/>
      <c r="C17" s="20"/>
      <c r="D17" s="19"/>
      <c r="E17" s="19"/>
      <c r="F17" s="19"/>
      <c r="G17" s="19"/>
      <c r="O17" s="12" t="s">
        <v>134</v>
      </c>
    </row>
    <row r="18">
      <c r="A18" s="21" t="s">
        <v>464</v>
      </c>
      <c r="B18" s="22" t="s">
        <v>496</v>
      </c>
      <c r="C18" s="20"/>
      <c r="D18" s="19"/>
      <c r="E18" s="19"/>
      <c r="F18" s="19"/>
      <c r="G18" s="19"/>
      <c r="O18" s="12" t="s">
        <v>98</v>
      </c>
    </row>
    <row r="19">
      <c r="A19" s="21" t="s">
        <v>466</v>
      </c>
      <c r="B19" s="23">
        <v>23.0</v>
      </c>
      <c r="C19" s="20"/>
      <c r="D19" s="19"/>
      <c r="E19" s="19"/>
      <c r="F19" s="19"/>
      <c r="G19" s="19"/>
      <c r="O19" s="12" t="s">
        <v>98</v>
      </c>
    </row>
    <row r="20">
      <c r="A20" s="21" t="s">
        <v>468</v>
      </c>
      <c r="B20" s="23">
        <v>16.0</v>
      </c>
      <c r="C20" s="20"/>
      <c r="D20" s="19"/>
      <c r="E20" s="19"/>
      <c r="F20" s="19"/>
      <c r="G20" s="19"/>
      <c r="O20" s="12" t="s">
        <v>98</v>
      </c>
    </row>
    <row r="21">
      <c r="A21" s="21" t="s">
        <v>470</v>
      </c>
      <c r="B21" s="23">
        <v>6.0</v>
      </c>
      <c r="C21" s="20"/>
      <c r="D21" s="19"/>
      <c r="E21" s="19"/>
      <c r="F21" s="19"/>
      <c r="G21" s="19"/>
      <c r="O21" s="12" t="s">
        <v>98</v>
      </c>
    </row>
    <row r="22">
      <c r="A22" s="21" t="s">
        <v>472</v>
      </c>
      <c r="B22" s="23">
        <v>5.0</v>
      </c>
      <c r="C22" s="20"/>
      <c r="D22" s="19"/>
      <c r="E22" s="19"/>
      <c r="F22" s="19"/>
      <c r="G22" s="19"/>
      <c r="O22" s="12" t="s">
        <v>25</v>
      </c>
    </row>
    <row r="23">
      <c r="A23" s="21" t="s">
        <v>497</v>
      </c>
      <c r="B23" s="23">
        <v>2.0</v>
      </c>
      <c r="C23" s="20"/>
      <c r="D23" s="19"/>
      <c r="E23" s="19"/>
      <c r="F23" s="19"/>
      <c r="G23" s="19"/>
      <c r="O23" s="12" t="s">
        <v>25</v>
      </c>
    </row>
    <row r="24">
      <c r="A24" s="15" t="s">
        <v>498</v>
      </c>
      <c r="B24" s="18">
        <v>10.0</v>
      </c>
      <c r="C24" s="20"/>
      <c r="D24" s="19"/>
      <c r="E24" s="19"/>
      <c r="F24" s="19"/>
      <c r="G24" s="19"/>
      <c r="O24" s="12" t="s">
        <v>25</v>
      </c>
    </row>
    <row r="25">
      <c r="B25" s="20"/>
      <c r="C25" s="20"/>
      <c r="D25" s="19"/>
      <c r="E25" s="19"/>
      <c r="F25" s="19"/>
      <c r="G25" s="19"/>
      <c r="O25" s="12" t="s">
        <v>51</v>
      </c>
    </row>
    <row r="26">
      <c r="B26" s="20"/>
      <c r="C26" s="20"/>
      <c r="D26" s="19"/>
      <c r="E26" s="19"/>
      <c r="F26" s="19"/>
      <c r="G26" s="19"/>
      <c r="O26" s="12" t="s">
        <v>98</v>
      </c>
    </row>
    <row r="27">
      <c r="B27" s="20"/>
      <c r="C27" s="20"/>
      <c r="D27" s="19"/>
      <c r="E27" s="19"/>
      <c r="F27" s="19"/>
      <c r="G27" s="19"/>
      <c r="O27" s="12" t="s">
        <v>98</v>
      </c>
    </row>
    <row r="28">
      <c r="B28" s="20"/>
      <c r="C28" s="20"/>
      <c r="D28" s="19"/>
      <c r="E28" s="19"/>
      <c r="F28" s="19"/>
      <c r="G28" s="19"/>
      <c r="O28" s="12" t="s">
        <v>98</v>
      </c>
    </row>
    <row r="29">
      <c r="B29" s="20"/>
      <c r="C29" s="20"/>
      <c r="D29" s="19"/>
      <c r="E29" s="19"/>
      <c r="F29" s="19"/>
      <c r="G29" s="19"/>
      <c r="O29" s="12" t="s">
        <v>25</v>
      </c>
    </row>
    <row r="30">
      <c r="B30" s="20"/>
      <c r="C30" s="20"/>
      <c r="D30" s="19"/>
      <c r="E30" s="19"/>
      <c r="F30" s="19"/>
      <c r="G30" s="19"/>
      <c r="O30" s="12" t="s">
        <v>25</v>
      </c>
    </row>
    <row r="31">
      <c r="B31" s="20"/>
      <c r="C31" s="20"/>
      <c r="D31" s="19"/>
      <c r="E31" s="19"/>
      <c r="F31" s="19"/>
      <c r="G31" s="19"/>
      <c r="O31" s="12" t="s">
        <v>51</v>
      </c>
    </row>
    <row r="32">
      <c r="B32" s="20"/>
      <c r="C32" s="20"/>
      <c r="D32" s="19"/>
      <c r="E32" s="19"/>
      <c r="F32" s="19"/>
      <c r="G32" s="19"/>
      <c r="O32" s="12" t="s">
        <v>40</v>
      </c>
    </row>
    <row r="33">
      <c r="B33" s="20"/>
      <c r="C33" s="20"/>
      <c r="D33" s="19"/>
      <c r="E33" s="19"/>
      <c r="F33" s="19"/>
      <c r="G33" s="19"/>
      <c r="O33" s="12" t="s">
        <v>98</v>
      </c>
    </row>
    <row r="34">
      <c r="B34" s="20"/>
      <c r="C34" s="20"/>
      <c r="D34" s="19"/>
      <c r="E34" s="19"/>
      <c r="F34" s="19"/>
      <c r="G34" s="19"/>
      <c r="O34" s="12" t="s">
        <v>51</v>
      </c>
    </row>
    <row r="35">
      <c r="B35" s="20"/>
      <c r="C35" s="20"/>
      <c r="D35" s="19"/>
      <c r="E35" s="19"/>
      <c r="F35" s="19"/>
      <c r="G35" s="19"/>
      <c r="O35" s="12" t="s">
        <v>40</v>
      </c>
    </row>
    <row r="36">
      <c r="B36" s="20"/>
      <c r="C36" s="20"/>
      <c r="D36" s="19"/>
      <c r="E36" s="19"/>
      <c r="F36" s="19"/>
      <c r="G36" s="19"/>
      <c r="O36" s="12" t="s">
        <v>98</v>
      </c>
    </row>
    <row r="37">
      <c r="B37" s="20"/>
      <c r="C37" s="20"/>
      <c r="D37" s="19"/>
      <c r="E37" s="19"/>
      <c r="F37" s="19"/>
      <c r="G37" s="19"/>
      <c r="O37" s="12" t="s">
        <v>25</v>
      </c>
    </row>
    <row r="38">
      <c r="B38" s="20"/>
      <c r="C38" s="20"/>
      <c r="D38" s="19"/>
      <c r="E38" s="19"/>
      <c r="F38" s="19"/>
      <c r="G38" s="19"/>
      <c r="O38" s="12" t="s">
        <v>40</v>
      </c>
    </row>
    <row r="39">
      <c r="B39" s="20"/>
      <c r="C39" s="20"/>
      <c r="D39" s="19"/>
      <c r="E39" s="19"/>
      <c r="F39" s="19"/>
      <c r="G39" s="19"/>
      <c r="O39" s="12" t="s">
        <v>40</v>
      </c>
    </row>
    <row r="40">
      <c r="B40" s="20"/>
      <c r="C40" s="20"/>
      <c r="D40" s="19"/>
      <c r="E40" s="19"/>
      <c r="F40" s="19"/>
      <c r="G40" s="19"/>
      <c r="O40" s="12" t="s">
        <v>98</v>
      </c>
    </row>
    <row r="41">
      <c r="B41" s="20"/>
      <c r="C41" s="20"/>
      <c r="D41" s="19"/>
      <c r="E41" s="19"/>
      <c r="F41" s="19"/>
      <c r="G41" s="19"/>
      <c r="O41" s="12" t="s">
        <v>25</v>
      </c>
    </row>
    <row r="42">
      <c r="B42" s="20"/>
      <c r="C42" s="20"/>
      <c r="D42" s="19"/>
      <c r="E42" s="19"/>
      <c r="F42" s="19"/>
      <c r="G42" s="19"/>
      <c r="O42" s="12" t="s">
        <v>40</v>
      </c>
    </row>
    <row r="43">
      <c r="B43" s="20"/>
      <c r="C43" s="20"/>
      <c r="D43" s="19"/>
      <c r="E43" s="19"/>
      <c r="F43" s="19"/>
      <c r="G43" s="19"/>
      <c r="O43" s="12" t="s">
        <v>40</v>
      </c>
    </row>
    <row r="44">
      <c r="B44" s="20"/>
      <c r="C44" s="20"/>
      <c r="D44" s="19"/>
      <c r="E44" s="19"/>
      <c r="F44" s="19"/>
      <c r="G44" s="19"/>
      <c r="O44" s="12" t="s">
        <v>40</v>
      </c>
    </row>
    <row r="45">
      <c r="B45" s="20"/>
      <c r="C45" s="20"/>
      <c r="D45" s="19"/>
      <c r="E45" s="19"/>
      <c r="F45" s="19"/>
      <c r="G45" s="19"/>
      <c r="O45" s="12" t="s">
        <v>40</v>
      </c>
    </row>
    <row r="46">
      <c r="B46" s="20"/>
      <c r="C46" s="20"/>
      <c r="D46" s="19"/>
      <c r="E46" s="19"/>
      <c r="F46" s="19"/>
      <c r="G46" s="19"/>
      <c r="O46" s="12" t="s">
        <v>98</v>
      </c>
    </row>
    <row r="47">
      <c r="A47" s="15" t="s">
        <v>4</v>
      </c>
      <c r="B47" s="18" t="s">
        <v>496</v>
      </c>
      <c r="C47" s="18" t="s">
        <v>499</v>
      </c>
      <c r="D47" s="19"/>
      <c r="E47" s="19"/>
      <c r="F47" s="19"/>
      <c r="G47" s="19"/>
      <c r="O47" s="12" t="s">
        <v>98</v>
      </c>
    </row>
    <row r="48">
      <c r="A48" s="15">
        <v>2016.0</v>
      </c>
      <c r="B48" s="20">
        <f>COUNTIF(datasets!E$2:E1846,A48)</f>
        <v>1</v>
      </c>
      <c r="C48" s="18"/>
      <c r="D48" s="19"/>
      <c r="E48" s="19"/>
      <c r="F48" s="19"/>
      <c r="G48" s="19"/>
      <c r="O48" s="12" t="s">
        <v>51</v>
      </c>
    </row>
    <row r="49">
      <c r="A49" s="15">
        <v>2017.0</v>
      </c>
      <c r="B49" s="20">
        <f>COUNTIF(datasets!E$2:E1846,A49)</f>
        <v>0</v>
      </c>
      <c r="C49" s="18"/>
      <c r="D49" s="19"/>
      <c r="E49" s="19"/>
      <c r="F49" s="19"/>
      <c r="G49" s="19"/>
      <c r="O49" s="12" t="s">
        <v>98</v>
      </c>
    </row>
    <row r="50">
      <c r="A50" s="15">
        <v>2018.0</v>
      </c>
      <c r="B50" s="20">
        <f>COUNTIF(datasets!E$2:E1846,A50)</f>
        <v>3</v>
      </c>
      <c r="C50" s="18"/>
      <c r="D50" s="19"/>
      <c r="E50" s="19"/>
      <c r="F50" s="19"/>
      <c r="G50" s="19"/>
      <c r="O50" s="12" t="s">
        <v>40</v>
      </c>
    </row>
    <row r="51">
      <c r="A51" s="15">
        <v>2019.0</v>
      </c>
      <c r="B51" s="20">
        <f>COUNTIF(datasets!E$2:E1846,A51)</f>
        <v>4</v>
      </c>
      <c r="C51" s="18"/>
      <c r="D51" s="19"/>
      <c r="E51" s="19"/>
      <c r="F51" s="19"/>
      <c r="G51" s="19"/>
      <c r="O51" s="12" t="s">
        <v>40</v>
      </c>
    </row>
    <row r="52">
      <c r="A52" s="15">
        <v>2020.0</v>
      </c>
      <c r="B52" s="20">
        <f>COUNTIF(datasets!E$2:E1846,A52)</f>
        <v>0</v>
      </c>
      <c r="C52" s="18"/>
      <c r="D52" s="19"/>
      <c r="E52" s="19"/>
      <c r="F52" s="19"/>
      <c r="G52" s="19"/>
      <c r="O52" s="12" t="s">
        <v>98</v>
      </c>
    </row>
    <row r="53">
      <c r="A53" s="15">
        <v>2021.0</v>
      </c>
      <c r="B53" s="20">
        <f>COUNTIF(datasets!E$2:E1846,A53)</f>
        <v>2</v>
      </c>
      <c r="C53" s="18"/>
      <c r="D53" s="19"/>
      <c r="E53" s="19"/>
      <c r="F53" s="19"/>
      <c r="G53" s="19"/>
      <c r="O53" s="12" t="s">
        <v>98</v>
      </c>
    </row>
    <row r="54">
      <c r="A54" s="15">
        <v>2022.0</v>
      </c>
      <c r="B54" s="20">
        <f>COUNTIF(datasets!E$2:E1846,A54)</f>
        <v>2</v>
      </c>
      <c r="C54" s="18"/>
      <c r="D54" s="19"/>
      <c r="E54" s="19"/>
      <c r="F54" s="19"/>
      <c r="G54" s="19"/>
      <c r="O54" s="12" t="s">
        <v>40</v>
      </c>
    </row>
    <row r="55">
      <c r="A55" s="15">
        <v>2023.0</v>
      </c>
      <c r="B55" s="20">
        <f>COUNTIF(datasets!E$2:E1846,A55)</f>
        <v>14</v>
      </c>
      <c r="C55" s="20">
        <v>3.0</v>
      </c>
      <c r="D55" s="19"/>
      <c r="E55" s="19"/>
      <c r="F55" s="19"/>
      <c r="G55" s="19"/>
      <c r="O55" s="12" t="s">
        <v>98</v>
      </c>
    </row>
    <row r="56">
      <c r="A56" s="15">
        <v>2024.0</v>
      </c>
      <c r="B56" s="20">
        <f>COUNTIF(datasets!E$2:E1846,A56)</f>
        <v>15</v>
      </c>
      <c r="C56" s="20">
        <v>20.0</v>
      </c>
      <c r="D56" s="19"/>
      <c r="E56" s="19"/>
      <c r="F56" s="19"/>
      <c r="G56" s="19"/>
      <c r="O56" s="12" t="s">
        <v>40</v>
      </c>
    </row>
    <row r="57">
      <c r="A57" s="15">
        <v>2025.0</v>
      </c>
      <c r="B57" s="20">
        <f>COUNTIF(datasets!E$2:E1846,A57)</f>
        <v>21</v>
      </c>
      <c r="C57" s="20">
        <v>22.0</v>
      </c>
      <c r="D57" s="19"/>
      <c r="E57" s="19"/>
      <c r="F57" s="19"/>
      <c r="G57" s="19"/>
      <c r="O57" s="12" t="s">
        <v>98</v>
      </c>
    </row>
    <row r="58">
      <c r="B58" s="20"/>
      <c r="C58" s="20"/>
      <c r="D58" s="19"/>
      <c r="E58" s="19"/>
      <c r="F58" s="19"/>
      <c r="G58" s="19"/>
      <c r="O58" s="12" t="s">
        <v>40</v>
      </c>
    </row>
    <row r="59">
      <c r="B59" s="20"/>
      <c r="C59" s="20"/>
      <c r="D59" s="19"/>
      <c r="E59" s="19"/>
      <c r="F59" s="19"/>
      <c r="G59" s="19"/>
      <c r="O59" s="12" t="s">
        <v>98</v>
      </c>
    </row>
    <row r="60">
      <c r="B60" s="20"/>
      <c r="C60" s="20"/>
      <c r="D60" s="19"/>
      <c r="E60" s="19"/>
      <c r="F60" s="19"/>
      <c r="G60" s="19"/>
      <c r="O60" s="12" t="s">
        <v>40</v>
      </c>
    </row>
    <row r="61">
      <c r="B61" s="20"/>
      <c r="C61" s="20"/>
      <c r="D61" s="19"/>
      <c r="E61" s="19"/>
      <c r="F61" s="19"/>
      <c r="G61" s="19"/>
      <c r="O61" s="12" t="s">
        <v>51</v>
      </c>
    </row>
    <row r="62">
      <c r="B62" s="20"/>
      <c r="C62" s="20"/>
      <c r="D62" s="19"/>
      <c r="E62" s="19"/>
      <c r="F62" s="19"/>
      <c r="G62" s="19"/>
      <c r="O62" s="12" t="s">
        <v>51</v>
      </c>
    </row>
    <row r="63">
      <c r="B63" s="20"/>
      <c r="C63" s="20"/>
      <c r="D63" s="19"/>
      <c r="E63" s="19"/>
      <c r="F63" s="19"/>
      <c r="G63" s="19"/>
    </row>
    <row r="64">
      <c r="B64" s="20"/>
      <c r="C64" s="20"/>
      <c r="D64" s="19"/>
      <c r="E64" s="19"/>
      <c r="F64" s="19"/>
      <c r="G64" s="19"/>
    </row>
    <row r="65">
      <c r="B65" s="20"/>
      <c r="C65" s="20"/>
      <c r="D65" s="19"/>
      <c r="E65" s="19"/>
      <c r="F65" s="19"/>
      <c r="G65" s="19"/>
      <c r="O65" s="12" t="s">
        <v>23</v>
      </c>
      <c r="P65" s="24" t="s">
        <v>49</v>
      </c>
      <c r="Q65" s="25">
        <f t="shared" ref="Q65:Q72" si="1">COUNTIF(O$65:O1846,P65)</f>
        <v>42</v>
      </c>
      <c r="S65" s="26">
        <v>2025.0</v>
      </c>
      <c r="T65" s="15">
        <v>2020.0</v>
      </c>
      <c r="U65" s="27">
        <f t="shared" ref="U65:U109" si="2">COUNTIF(S$65:S1846,T65)</f>
        <v>0</v>
      </c>
    </row>
    <row r="66">
      <c r="B66" s="20"/>
      <c r="C66" s="20"/>
      <c r="D66" s="19"/>
      <c r="E66" s="19"/>
      <c r="F66" s="19"/>
      <c r="G66" s="19"/>
      <c r="O66" s="12" t="s">
        <v>38</v>
      </c>
      <c r="P66" s="24" t="s">
        <v>61</v>
      </c>
      <c r="Q66" s="25">
        <f t="shared" si="1"/>
        <v>8</v>
      </c>
      <c r="S66" s="26">
        <v>2025.0</v>
      </c>
      <c r="T66" s="15">
        <v>2021.0</v>
      </c>
      <c r="U66" s="27">
        <f t="shared" si="2"/>
        <v>0</v>
      </c>
    </row>
    <row r="67">
      <c r="B67" s="20"/>
      <c r="C67" s="20"/>
      <c r="D67" s="19"/>
      <c r="E67" s="19"/>
      <c r="F67" s="19"/>
      <c r="G67" s="19"/>
      <c r="O67" s="12" t="s">
        <v>49</v>
      </c>
      <c r="P67" s="24" t="s">
        <v>88</v>
      </c>
      <c r="Q67" s="25">
        <f t="shared" si="1"/>
        <v>3</v>
      </c>
      <c r="S67" s="26">
        <v>2025.0</v>
      </c>
      <c r="T67" s="15">
        <v>2022.0</v>
      </c>
      <c r="U67" s="27">
        <f t="shared" si="2"/>
        <v>0</v>
      </c>
    </row>
    <row r="68">
      <c r="B68" s="20"/>
      <c r="C68" s="20"/>
      <c r="D68" s="19"/>
      <c r="E68" s="19"/>
      <c r="F68" s="19"/>
      <c r="G68" s="19"/>
      <c r="O68" s="12" t="s">
        <v>61</v>
      </c>
      <c r="P68" s="24" t="s">
        <v>70</v>
      </c>
      <c r="Q68" s="25">
        <f t="shared" si="1"/>
        <v>3</v>
      </c>
      <c r="S68" s="26">
        <v>2025.0</v>
      </c>
      <c r="T68" s="15">
        <v>2023.0</v>
      </c>
      <c r="U68" s="27">
        <f t="shared" si="2"/>
        <v>3</v>
      </c>
    </row>
    <row r="69">
      <c r="B69" s="20"/>
      <c r="C69" s="20"/>
      <c r="D69" s="19"/>
      <c r="E69" s="19"/>
      <c r="F69" s="19"/>
      <c r="G69" s="19"/>
      <c r="O69" s="12" t="s">
        <v>70</v>
      </c>
      <c r="P69" s="24" t="s">
        <v>38</v>
      </c>
      <c r="Q69" s="25">
        <f t="shared" si="1"/>
        <v>2</v>
      </c>
      <c r="S69" s="26">
        <v>2025.0</v>
      </c>
      <c r="T69" s="15">
        <v>2024.0</v>
      </c>
      <c r="U69" s="27">
        <f t="shared" si="2"/>
        <v>20</v>
      </c>
    </row>
    <row r="70">
      <c r="B70" s="20"/>
      <c r="C70" s="20"/>
      <c r="D70" s="19"/>
      <c r="E70" s="19"/>
      <c r="F70" s="19"/>
      <c r="G70" s="19"/>
      <c r="O70" s="12" t="s">
        <v>49</v>
      </c>
      <c r="P70" s="24" t="s">
        <v>97</v>
      </c>
      <c r="Q70" s="25">
        <f t="shared" si="1"/>
        <v>2</v>
      </c>
      <c r="S70" s="26">
        <v>2025.0</v>
      </c>
      <c r="T70" s="15">
        <v>2025.0</v>
      </c>
      <c r="U70" s="27">
        <f t="shared" si="2"/>
        <v>22</v>
      </c>
    </row>
    <row r="71">
      <c r="B71" s="20"/>
      <c r="C71" s="20"/>
      <c r="D71" s="19"/>
      <c r="E71" s="19"/>
      <c r="F71" s="19"/>
      <c r="G71" s="19"/>
      <c r="O71" s="12" t="s">
        <v>88</v>
      </c>
      <c r="P71" s="24" t="s">
        <v>133</v>
      </c>
      <c r="Q71" s="25">
        <f t="shared" si="1"/>
        <v>1</v>
      </c>
      <c r="S71" s="26">
        <v>2025.0</v>
      </c>
      <c r="T71" s="15">
        <v>2026.0</v>
      </c>
      <c r="U71" s="27">
        <f t="shared" si="2"/>
        <v>0</v>
      </c>
    </row>
    <row r="72">
      <c r="B72" s="20"/>
      <c r="C72" s="20"/>
      <c r="D72" s="19"/>
      <c r="E72" s="19"/>
      <c r="F72" s="19"/>
      <c r="G72" s="19"/>
      <c r="O72" s="12" t="s">
        <v>97</v>
      </c>
      <c r="P72" s="24" t="s">
        <v>23</v>
      </c>
      <c r="Q72" s="25">
        <f t="shared" si="1"/>
        <v>1</v>
      </c>
      <c r="S72" s="26">
        <v>2025.0</v>
      </c>
      <c r="U72" s="27">
        <f t="shared" si="2"/>
        <v>0</v>
      </c>
    </row>
    <row r="73">
      <c r="B73" s="20"/>
      <c r="C73" s="20"/>
      <c r="D73" s="19"/>
      <c r="E73" s="19"/>
      <c r="F73" s="19"/>
      <c r="G73" s="19"/>
      <c r="O73" s="12" t="s">
        <v>49</v>
      </c>
      <c r="P73" s="25"/>
      <c r="Q73" s="25"/>
      <c r="S73" s="26">
        <v>2025.0</v>
      </c>
      <c r="U73" s="27">
        <f t="shared" si="2"/>
        <v>0</v>
      </c>
    </row>
    <row r="74">
      <c r="B74" s="20"/>
      <c r="C74" s="20"/>
      <c r="D74" s="19"/>
      <c r="E74" s="19"/>
      <c r="F74" s="19"/>
      <c r="G74" s="19"/>
      <c r="O74" s="12" t="s">
        <v>49</v>
      </c>
      <c r="P74" s="25"/>
      <c r="Q74" s="25"/>
      <c r="S74" s="26">
        <v>2025.0</v>
      </c>
      <c r="U74" s="27">
        <f t="shared" si="2"/>
        <v>0</v>
      </c>
    </row>
    <row r="75">
      <c r="B75" s="20"/>
      <c r="C75" s="20"/>
      <c r="D75" s="19"/>
      <c r="E75" s="19"/>
      <c r="F75" s="19"/>
      <c r="G75" s="19"/>
      <c r="O75" s="12" t="s">
        <v>49</v>
      </c>
      <c r="P75" s="25"/>
      <c r="Q75" s="25"/>
      <c r="S75" s="26">
        <v>2025.0</v>
      </c>
      <c r="U75" s="27">
        <f t="shared" si="2"/>
        <v>0</v>
      </c>
    </row>
    <row r="76">
      <c r="B76" s="20"/>
      <c r="C76" s="20"/>
      <c r="D76" s="19"/>
      <c r="E76" s="19"/>
      <c r="F76" s="19"/>
      <c r="G76" s="19"/>
      <c r="O76" s="12" t="s">
        <v>49</v>
      </c>
      <c r="P76" s="25"/>
      <c r="Q76" s="25"/>
      <c r="S76" s="26">
        <v>2025.0</v>
      </c>
      <c r="U76" s="27">
        <f t="shared" si="2"/>
        <v>0</v>
      </c>
    </row>
    <row r="77">
      <c r="B77" s="20"/>
      <c r="C77" s="20"/>
      <c r="D77" s="19"/>
      <c r="E77" s="19"/>
      <c r="F77" s="19"/>
      <c r="G77" s="19"/>
      <c r="O77" s="12" t="s">
        <v>133</v>
      </c>
      <c r="P77" s="25"/>
      <c r="Q77" s="25"/>
      <c r="S77" s="26">
        <v>2025.0</v>
      </c>
      <c r="U77" s="27">
        <f t="shared" si="2"/>
        <v>0</v>
      </c>
    </row>
    <row r="78">
      <c r="A78" s="12" t="s">
        <v>500</v>
      </c>
      <c r="B78" s="20"/>
      <c r="C78" s="20"/>
      <c r="D78" s="19"/>
      <c r="E78" s="19"/>
      <c r="F78" s="19"/>
      <c r="G78" s="19"/>
      <c r="O78" s="12" t="s">
        <v>49</v>
      </c>
      <c r="P78" s="25"/>
      <c r="Q78" s="25"/>
      <c r="S78" s="26">
        <v>2025.0</v>
      </c>
      <c r="U78" s="27">
        <f t="shared" si="2"/>
        <v>0</v>
      </c>
    </row>
    <row r="79">
      <c r="A79" s="12" t="s">
        <v>37</v>
      </c>
      <c r="B79" s="20"/>
      <c r="C79" s="20"/>
      <c r="D79" s="19"/>
      <c r="E79" s="19"/>
      <c r="F79" s="19"/>
      <c r="G79" s="19"/>
      <c r="O79" s="12" t="s">
        <v>88</v>
      </c>
      <c r="P79" s="25"/>
      <c r="Q79" s="25"/>
      <c r="S79" s="26">
        <v>2025.0</v>
      </c>
      <c r="U79" s="27">
        <f t="shared" si="2"/>
        <v>0</v>
      </c>
    </row>
    <row r="80">
      <c r="A80" s="12" t="s">
        <v>37</v>
      </c>
      <c r="B80" s="20"/>
      <c r="C80" s="20"/>
      <c r="D80" s="19"/>
      <c r="E80" s="19"/>
      <c r="F80" s="19"/>
      <c r="G80" s="19"/>
      <c r="O80" s="12" t="s">
        <v>49</v>
      </c>
      <c r="P80" s="25"/>
      <c r="Q80" s="25"/>
      <c r="S80" s="26">
        <v>2025.0</v>
      </c>
      <c r="U80" s="27">
        <f t="shared" si="2"/>
        <v>0</v>
      </c>
    </row>
    <row r="81">
      <c r="A81" s="12" t="s">
        <v>501</v>
      </c>
      <c r="B81" s="20"/>
      <c r="C81" s="20"/>
      <c r="D81" s="19"/>
      <c r="E81" s="19"/>
      <c r="F81" s="19"/>
      <c r="G81" s="19"/>
      <c r="O81" s="12" t="s">
        <v>49</v>
      </c>
      <c r="P81" s="25"/>
      <c r="Q81" s="25"/>
      <c r="S81" s="26">
        <v>2025.0</v>
      </c>
      <c r="U81" s="27">
        <f t="shared" si="2"/>
        <v>0</v>
      </c>
    </row>
    <row r="82">
      <c r="A82" s="12" t="s">
        <v>500</v>
      </c>
      <c r="B82" s="20"/>
      <c r="C82" s="20"/>
      <c r="D82" s="19"/>
      <c r="E82" s="19"/>
      <c r="F82" s="19"/>
      <c r="G82" s="19"/>
      <c r="O82" s="12" t="s">
        <v>49</v>
      </c>
      <c r="P82" s="25"/>
      <c r="Q82" s="25"/>
      <c r="S82" s="26">
        <v>2025.0</v>
      </c>
      <c r="U82" s="27">
        <f t="shared" si="2"/>
        <v>0</v>
      </c>
    </row>
    <row r="83">
      <c r="A83" s="12" t="s">
        <v>37</v>
      </c>
      <c r="B83" s="20"/>
      <c r="C83" s="20"/>
      <c r="D83" s="19"/>
      <c r="E83" s="19"/>
      <c r="F83" s="19"/>
      <c r="G83" s="19"/>
      <c r="O83" s="12" t="s">
        <v>49</v>
      </c>
      <c r="P83" s="25"/>
      <c r="Q83" s="25"/>
      <c r="S83" s="26">
        <v>2025.0</v>
      </c>
      <c r="U83" s="27">
        <f t="shared" si="2"/>
        <v>0</v>
      </c>
    </row>
    <row r="84">
      <c r="A84" s="12" t="s">
        <v>500</v>
      </c>
      <c r="B84" s="20"/>
      <c r="C84" s="20"/>
      <c r="D84" s="19"/>
      <c r="E84" s="19"/>
      <c r="F84" s="19"/>
      <c r="G84" s="19"/>
      <c r="O84" s="12" t="s">
        <v>49</v>
      </c>
      <c r="P84" s="25"/>
      <c r="Q84" s="25"/>
      <c r="S84" s="26">
        <v>2025.0</v>
      </c>
      <c r="U84" s="27">
        <f t="shared" si="2"/>
        <v>0</v>
      </c>
    </row>
    <row r="85">
      <c r="A85" s="12" t="s">
        <v>37</v>
      </c>
      <c r="B85" s="20"/>
      <c r="C85" s="20"/>
      <c r="D85" s="19"/>
      <c r="E85" s="19"/>
      <c r="F85" s="19"/>
      <c r="G85" s="19"/>
      <c r="O85" s="12" t="s">
        <v>49</v>
      </c>
      <c r="P85" s="25"/>
      <c r="Q85" s="25"/>
      <c r="S85" s="26">
        <v>2025.0</v>
      </c>
      <c r="U85" s="27">
        <f t="shared" si="2"/>
        <v>0</v>
      </c>
    </row>
    <row r="86">
      <c r="A86" s="12" t="s">
        <v>37</v>
      </c>
      <c r="B86" s="20"/>
      <c r="C86" s="20"/>
      <c r="D86" s="19"/>
      <c r="E86" s="19"/>
      <c r="F86" s="19"/>
      <c r="G86" s="19"/>
      <c r="O86" s="12" t="s">
        <v>61</v>
      </c>
      <c r="P86" s="25"/>
      <c r="Q86" s="25"/>
      <c r="S86" s="26">
        <v>2024.0</v>
      </c>
      <c r="U86" s="27">
        <f t="shared" si="2"/>
        <v>0</v>
      </c>
    </row>
    <row r="87">
      <c r="A87" s="12" t="s">
        <v>37</v>
      </c>
      <c r="B87" s="20"/>
      <c r="C87" s="20"/>
      <c r="D87" s="19"/>
      <c r="E87" s="19"/>
      <c r="F87" s="19"/>
      <c r="G87" s="19"/>
      <c r="O87" s="12" t="s">
        <v>61</v>
      </c>
      <c r="P87" s="25"/>
      <c r="Q87" s="25"/>
      <c r="S87" s="26">
        <v>2024.0</v>
      </c>
      <c r="U87" s="27">
        <f t="shared" si="2"/>
        <v>0</v>
      </c>
    </row>
    <row r="88">
      <c r="A88" s="12" t="s">
        <v>37</v>
      </c>
      <c r="B88" s="20"/>
      <c r="C88" s="20"/>
      <c r="D88" s="19"/>
      <c r="E88" s="19"/>
      <c r="F88" s="19"/>
      <c r="G88" s="19"/>
      <c r="O88" s="12" t="s">
        <v>61</v>
      </c>
      <c r="P88" s="25"/>
      <c r="Q88" s="25"/>
      <c r="S88" s="26">
        <v>2024.0</v>
      </c>
      <c r="U88" s="27">
        <f t="shared" si="2"/>
        <v>0</v>
      </c>
    </row>
    <row r="89">
      <c r="A89" s="12" t="s">
        <v>500</v>
      </c>
      <c r="B89" s="20"/>
      <c r="C89" s="20"/>
      <c r="D89" s="19"/>
      <c r="E89" s="19"/>
      <c r="F89" s="19"/>
      <c r="G89" s="19"/>
      <c r="O89" s="12" t="s">
        <v>49</v>
      </c>
      <c r="P89" s="25"/>
      <c r="Q89" s="25"/>
      <c r="S89" s="26">
        <v>2024.0</v>
      </c>
      <c r="U89" s="27">
        <f t="shared" si="2"/>
        <v>0</v>
      </c>
    </row>
    <row r="90">
      <c r="A90" s="12" t="s">
        <v>37</v>
      </c>
      <c r="B90" s="20"/>
      <c r="C90" s="20"/>
      <c r="D90" s="19"/>
      <c r="E90" s="19"/>
      <c r="F90" s="19"/>
      <c r="G90" s="19"/>
      <c r="O90" s="12" t="s">
        <v>49</v>
      </c>
      <c r="P90" s="25"/>
      <c r="Q90" s="25"/>
      <c r="S90" s="26">
        <v>2024.0</v>
      </c>
      <c r="U90" s="27">
        <f t="shared" si="2"/>
        <v>0</v>
      </c>
    </row>
    <row r="91">
      <c r="A91" s="12" t="s">
        <v>37</v>
      </c>
      <c r="B91" s="20"/>
      <c r="C91" s="20"/>
      <c r="D91" s="19"/>
      <c r="E91" s="19"/>
      <c r="F91" s="19"/>
      <c r="G91" s="19"/>
      <c r="O91" s="12" t="s">
        <v>49</v>
      </c>
      <c r="P91" s="25"/>
      <c r="Q91" s="25"/>
      <c r="S91" s="26">
        <v>2024.0</v>
      </c>
      <c r="U91" s="27">
        <f t="shared" si="2"/>
        <v>0</v>
      </c>
    </row>
    <row r="92">
      <c r="A92" s="12" t="s">
        <v>500</v>
      </c>
      <c r="B92" s="20"/>
      <c r="C92" s="20"/>
      <c r="D92" s="19"/>
      <c r="E92" s="19"/>
      <c r="F92" s="19"/>
      <c r="G92" s="19"/>
      <c r="O92" s="12" t="s">
        <v>49</v>
      </c>
      <c r="P92" s="25"/>
      <c r="Q92" s="25"/>
      <c r="S92" s="26">
        <v>2024.0</v>
      </c>
      <c r="U92" s="27">
        <f t="shared" si="2"/>
        <v>0</v>
      </c>
    </row>
    <row r="93">
      <c r="A93" s="12" t="s">
        <v>500</v>
      </c>
      <c r="B93" s="20"/>
      <c r="C93" s="20"/>
      <c r="D93" s="19"/>
      <c r="E93" s="19"/>
      <c r="F93" s="19"/>
      <c r="G93" s="19"/>
      <c r="O93" s="12" t="s">
        <v>61</v>
      </c>
      <c r="P93" s="25"/>
      <c r="Q93" s="25"/>
      <c r="S93" s="26">
        <v>2024.0</v>
      </c>
      <c r="U93" s="27">
        <f t="shared" si="2"/>
        <v>0</v>
      </c>
    </row>
    <row r="94">
      <c r="A94" s="12" t="s">
        <v>37</v>
      </c>
      <c r="B94" s="20"/>
      <c r="C94" s="20"/>
      <c r="D94" s="19"/>
      <c r="E94" s="19"/>
      <c r="F94" s="19"/>
      <c r="G94" s="19"/>
      <c r="O94" s="12" t="s">
        <v>88</v>
      </c>
      <c r="P94" s="25"/>
      <c r="Q94" s="25"/>
      <c r="S94" s="26">
        <v>2024.0</v>
      </c>
      <c r="U94" s="27">
        <f t="shared" si="2"/>
        <v>0</v>
      </c>
    </row>
    <row r="95">
      <c r="A95" s="12" t="s">
        <v>37</v>
      </c>
      <c r="B95" s="20"/>
      <c r="C95" s="20"/>
      <c r="D95" s="19"/>
      <c r="E95" s="19"/>
      <c r="F95" s="19"/>
      <c r="G95" s="19"/>
      <c r="O95" s="12" t="s">
        <v>49</v>
      </c>
      <c r="P95" s="25"/>
      <c r="Q95" s="25"/>
      <c r="S95" s="26">
        <v>2024.0</v>
      </c>
      <c r="U95" s="27">
        <f t="shared" si="2"/>
        <v>0</v>
      </c>
    </row>
    <row r="96">
      <c r="A96" s="12" t="s">
        <v>500</v>
      </c>
      <c r="B96" s="20"/>
      <c r="C96" s="20"/>
      <c r="D96" s="19"/>
      <c r="E96" s="19"/>
      <c r="F96" s="19"/>
      <c r="G96" s="19"/>
      <c r="O96" s="12" t="s">
        <v>49</v>
      </c>
      <c r="P96" s="25"/>
      <c r="Q96" s="25"/>
      <c r="S96" s="26">
        <v>2024.0</v>
      </c>
      <c r="U96" s="27">
        <f t="shared" si="2"/>
        <v>0</v>
      </c>
    </row>
    <row r="97">
      <c r="A97" s="12" t="s">
        <v>37</v>
      </c>
      <c r="B97" s="20"/>
      <c r="C97" s="20"/>
      <c r="D97" s="19"/>
      <c r="E97" s="19"/>
      <c r="F97" s="19"/>
      <c r="G97" s="19"/>
      <c r="O97" s="12" t="s">
        <v>49</v>
      </c>
      <c r="P97" s="25"/>
      <c r="Q97" s="25"/>
      <c r="S97" s="26">
        <v>2024.0</v>
      </c>
      <c r="U97" s="27">
        <f t="shared" si="2"/>
        <v>0</v>
      </c>
    </row>
    <row r="98">
      <c r="A98" s="12" t="s">
        <v>37</v>
      </c>
      <c r="B98" s="20"/>
      <c r="C98" s="20"/>
      <c r="D98" s="19"/>
      <c r="E98" s="19"/>
      <c r="F98" s="19"/>
      <c r="G98" s="19"/>
      <c r="O98" s="12" t="s">
        <v>49</v>
      </c>
      <c r="P98" s="25"/>
      <c r="Q98" s="25"/>
      <c r="S98" s="26">
        <v>2024.0</v>
      </c>
      <c r="U98" s="27">
        <f t="shared" si="2"/>
        <v>0</v>
      </c>
    </row>
    <row r="99">
      <c r="A99" s="12" t="s">
        <v>500</v>
      </c>
      <c r="B99" s="20"/>
      <c r="C99" s="20"/>
      <c r="D99" s="19"/>
      <c r="E99" s="19"/>
      <c r="F99" s="19"/>
      <c r="G99" s="19"/>
      <c r="O99" s="12" t="s">
        <v>49</v>
      </c>
      <c r="P99" s="25"/>
      <c r="Q99" s="25"/>
      <c r="S99" s="26">
        <v>2024.0</v>
      </c>
      <c r="U99" s="27">
        <f t="shared" si="2"/>
        <v>0</v>
      </c>
    </row>
    <row r="100">
      <c r="A100" s="12" t="s">
        <v>500</v>
      </c>
      <c r="B100" s="20"/>
      <c r="C100" s="20"/>
      <c r="D100" s="19"/>
      <c r="E100" s="19"/>
      <c r="F100" s="19"/>
      <c r="G100" s="19"/>
      <c r="O100" s="12" t="s">
        <v>49</v>
      </c>
      <c r="P100" s="25"/>
      <c r="Q100" s="25"/>
      <c r="S100" s="26">
        <v>2024.0</v>
      </c>
      <c r="U100" s="27">
        <f t="shared" si="2"/>
        <v>0</v>
      </c>
    </row>
    <row r="101">
      <c r="A101" s="12" t="s">
        <v>500</v>
      </c>
      <c r="B101" s="20"/>
      <c r="C101" s="20"/>
      <c r="D101" s="19"/>
      <c r="E101" s="19"/>
      <c r="F101" s="19"/>
      <c r="G101" s="19"/>
      <c r="O101" s="12" t="s">
        <v>61</v>
      </c>
      <c r="P101" s="25"/>
      <c r="Q101" s="25"/>
      <c r="S101" s="26">
        <v>2024.0</v>
      </c>
      <c r="U101" s="27">
        <f t="shared" si="2"/>
        <v>0</v>
      </c>
    </row>
    <row r="102">
      <c r="A102" s="12" t="s">
        <v>502</v>
      </c>
      <c r="B102" s="20"/>
      <c r="C102" s="20"/>
      <c r="D102" s="19"/>
      <c r="E102" s="19"/>
      <c r="F102" s="19"/>
      <c r="G102" s="19"/>
      <c r="O102" s="12" t="s">
        <v>38</v>
      </c>
      <c r="P102" s="25"/>
      <c r="Q102" s="25"/>
      <c r="S102" s="26">
        <v>2024.0</v>
      </c>
      <c r="U102" s="27">
        <f t="shared" si="2"/>
        <v>0</v>
      </c>
    </row>
    <row r="103">
      <c r="A103" s="12" t="s">
        <v>37</v>
      </c>
      <c r="B103" s="20"/>
      <c r="C103" s="20"/>
      <c r="D103" s="19"/>
      <c r="E103" s="19"/>
      <c r="F103" s="19"/>
      <c r="G103" s="19"/>
      <c r="O103" s="12" t="s">
        <v>70</v>
      </c>
      <c r="P103" s="25"/>
      <c r="Q103" s="25"/>
      <c r="S103" s="26">
        <v>2024.0</v>
      </c>
      <c r="U103" s="27">
        <f t="shared" si="2"/>
        <v>0</v>
      </c>
    </row>
    <row r="104">
      <c r="A104" s="12" t="s">
        <v>37</v>
      </c>
      <c r="B104" s="20"/>
      <c r="C104" s="20"/>
      <c r="D104" s="19"/>
      <c r="E104" s="19"/>
      <c r="F104" s="19"/>
      <c r="G104" s="19"/>
      <c r="O104" s="12" t="s">
        <v>49</v>
      </c>
      <c r="P104" s="25"/>
      <c r="Q104" s="25"/>
      <c r="S104" s="26">
        <v>2024.0</v>
      </c>
      <c r="U104" s="27">
        <f t="shared" si="2"/>
        <v>0</v>
      </c>
    </row>
    <row r="105">
      <c r="A105" s="12" t="s">
        <v>37</v>
      </c>
      <c r="B105" s="20"/>
      <c r="C105" s="20"/>
      <c r="D105" s="19"/>
      <c r="E105" s="19"/>
      <c r="F105" s="19"/>
      <c r="G105" s="19"/>
      <c r="O105" s="12" t="s">
        <v>61</v>
      </c>
      <c r="P105" s="25"/>
      <c r="Q105" s="25"/>
      <c r="S105" s="26">
        <v>2023.0</v>
      </c>
      <c r="U105" s="27">
        <f t="shared" si="2"/>
        <v>0</v>
      </c>
    </row>
    <row r="106">
      <c r="A106" s="12" t="s">
        <v>37</v>
      </c>
      <c r="B106" s="20"/>
      <c r="C106" s="20"/>
      <c r="D106" s="19"/>
      <c r="E106" s="19"/>
      <c r="F106" s="19"/>
      <c r="G106" s="19"/>
      <c r="O106" s="12" t="s">
        <v>49</v>
      </c>
      <c r="P106" s="25"/>
      <c r="Q106" s="25"/>
      <c r="S106" s="26">
        <v>2023.0</v>
      </c>
      <c r="U106" s="27">
        <f t="shared" si="2"/>
        <v>0</v>
      </c>
    </row>
    <row r="107">
      <c r="A107" s="12" t="s">
        <v>37</v>
      </c>
      <c r="B107" s="20"/>
      <c r="C107" s="20"/>
      <c r="D107" s="19"/>
      <c r="E107" s="19"/>
      <c r="F107" s="19"/>
      <c r="G107" s="19"/>
      <c r="O107" s="12" t="s">
        <v>49</v>
      </c>
      <c r="P107" s="25"/>
      <c r="Q107" s="25"/>
      <c r="S107" s="26">
        <v>2023.0</v>
      </c>
      <c r="U107" s="27">
        <f t="shared" si="2"/>
        <v>0</v>
      </c>
    </row>
    <row r="108">
      <c r="A108" s="12" t="s">
        <v>37</v>
      </c>
      <c r="B108" s="20"/>
      <c r="C108" s="20"/>
      <c r="D108" s="19"/>
      <c r="E108" s="19"/>
      <c r="F108" s="19"/>
      <c r="G108" s="19"/>
      <c r="O108" s="12" t="s">
        <v>49</v>
      </c>
      <c r="P108" s="25"/>
      <c r="Q108" s="25"/>
      <c r="S108" s="26">
        <v>2024.0</v>
      </c>
      <c r="U108" s="27">
        <f t="shared" si="2"/>
        <v>0</v>
      </c>
    </row>
    <row r="109">
      <c r="A109" s="12" t="s">
        <v>37</v>
      </c>
      <c r="B109" s="20"/>
      <c r="C109" s="20"/>
      <c r="D109" s="19"/>
      <c r="E109" s="19"/>
      <c r="F109" s="19"/>
      <c r="G109" s="19"/>
      <c r="O109" s="12" t="s">
        <v>49</v>
      </c>
      <c r="P109" s="25"/>
      <c r="Q109" s="25"/>
      <c r="S109" s="26">
        <v>2025.0</v>
      </c>
      <c r="U109" s="27">
        <f t="shared" si="2"/>
        <v>0</v>
      </c>
    </row>
    <row r="110">
      <c r="A110" s="12" t="s">
        <v>500</v>
      </c>
      <c r="B110" s="20"/>
      <c r="C110" s="20"/>
      <c r="D110" s="19"/>
      <c r="E110" s="19"/>
      <c r="F110" s="19"/>
      <c r="G110" s="19"/>
      <c r="O110" s="12" t="s">
        <v>49</v>
      </c>
      <c r="P110" s="25"/>
      <c r="Q110" s="25"/>
    </row>
    <row r="111">
      <c r="A111" s="12" t="s">
        <v>261</v>
      </c>
      <c r="B111" s="20"/>
      <c r="C111" s="20"/>
      <c r="D111" s="19"/>
      <c r="E111" s="19"/>
      <c r="F111" s="19"/>
      <c r="G111" s="19"/>
      <c r="O111" s="12" t="s">
        <v>49</v>
      </c>
      <c r="P111" s="25"/>
      <c r="Q111" s="25"/>
    </row>
    <row r="112">
      <c r="A112" s="12" t="s">
        <v>261</v>
      </c>
      <c r="B112" s="20"/>
      <c r="C112" s="20"/>
      <c r="D112" s="19"/>
      <c r="E112" s="19"/>
      <c r="F112" s="19"/>
      <c r="G112" s="19"/>
      <c r="O112" s="12" t="s">
        <v>49</v>
      </c>
      <c r="P112" s="25"/>
      <c r="Q112" s="25"/>
    </row>
    <row r="113">
      <c r="A113" s="12" t="s">
        <v>37</v>
      </c>
      <c r="B113" s="20"/>
      <c r="C113" s="20"/>
      <c r="D113" s="19"/>
      <c r="E113" s="19"/>
      <c r="F113" s="19"/>
      <c r="G113" s="19"/>
      <c r="O113" s="12" t="s">
        <v>49</v>
      </c>
      <c r="P113" s="25"/>
      <c r="Q113" s="25"/>
    </row>
    <row r="114">
      <c r="A114" s="12" t="s">
        <v>502</v>
      </c>
      <c r="B114" s="20"/>
      <c r="C114" s="20"/>
      <c r="D114" s="19"/>
      <c r="E114" s="19"/>
      <c r="F114" s="19"/>
      <c r="G114" s="19"/>
      <c r="O114" s="12" t="s">
        <v>49</v>
      </c>
      <c r="P114" s="25"/>
      <c r="Q114" s="25"/>
    </row>
    <row r="115">
      <c r="A115" s="12" t="s">
        <v>37</v>
      </c>
      <c r="B115" s="20"/>
      <c r="C115" s="20"/>
      <c r="D115" s="19"/>
      <c r="E115" s="19"/>
      <c r="F115" s="19"/>
      <c r="G115" s="19"/>
      <c r="O115" s="12" t="s">
        <v>49</v>
      </c>
      <c r="P115" s="25"/>
      <c r="Q115" s="25"/>
    </row>
    <row r="116">
      <c r="A116" s="12" t="s">
        <v>37</v>
      </c>
      <c r="B116" s="20"/>
      <c r="C116" s="20"/>
      <c r="D116" s="19"/>
      <c r="E116" s="19"/>
      <c r="F116" s="19"/>
      <c r="G116" s="19"/>
      <c r="O116" s="12" t="s">
        <v>97</v>
      </c>
      <c r="P116" s="25"/>
      <c r="Q116" s="25"/>
    </row>
    <row r="117">
      <c r="A117" s="12" t="s">
        <v>37</v>
      </c>
      <c r="B117" s="20"/>
      <c r="C117" s="20"/>
      <c r="D117" s="19"/>
      <c r="E117" s="19"/>
      <c r="F117" s="19"/>
      <c r="G117" s="19"/>
      <c r="O117" s="12" t="s">
        <v>49</v>
      </c>
      <c r="P117" s="25"/>
      <c r="Q117" s="25"/>
    </row>
    <row r="118">
      <c r="A118" s="12" t="s">
        <v>37</v>
      </c>
      <c r="B118" s="20"/>
      <c r="C118" s="20"/>
      <c r="D118" s="19"/>
      <c r="E118" s="19"/>
      <c r="F118" s="19"/>
      <c r="G118" s="19"/>
      <c r="O118" s="12" t="s">
        <v>49</v>
      </c>
      <c r="P118" s="25"/>
      <c r="Q118" s="25"/>
    </row>
    <row r="119">
      <c r="A119" s="12" t="s">
        <v>503</v>
      </c>
      <c r="B119" s="20"/>
      <c r="C119" s="20"/>
      <c r="D119" s="19"/>
      <c r="E119" s="19"/>
      <c r="F119" s="19"/>
      <c r="G119" s="19"/>
      <c r="O119" s="12" t="s">
        <v>49</v>
      </c>
      <c r="P119" s="25"/>
      <c r="Q119" s="25"/>
    </row>
    <row r="120">
      <c r="A120" s="12" t="s">
        <v>500</v>
      </c>
      <c r="B120" s="20"/>
      <c r="C120" s="20"/>
      <c r="D120" s="19"/>
      <c r="E120" s="19"/>
      <c r="F120" s="19"/>
      <c r="G120" s="19"/>
      <c r="O120" s="12" t="s">
        <v>70</v>
      </c>
      <c r="P120" s="25"/>
      <c r="Q120" s="25"/>
    </row>
    <row r="121">
      <c r="A121" s="12" t="s">
        <v>37</v>
      </c>
      <c r="B121" s="20"/>
      <c r="C121" s="20"/>
      <c r="D121" s="19"/>
      <c r="E121" s="19"/>
      <c r="F121" s="19"/>
      <c r="G121" s="19"/>
      <c r="O121" s="12" t="s">
        <v>49</v>
      </c>
      <c r="P121" s="25"/>
      <c r="Q121" s="25"/>
    </row>
    <row r="122">
      <c r="A122" s="12" t="s">
        <v>500</v>
      </c>
      <c r="B122" s="20"/>
      <c r="C122" s="20"/>
      <c r="D122" s="19"/>
      <c r="E122" s="19"/>
      <c r="F122" s="19"/>
      <c r="G122" s="19"/>
      <c r="O122" s="12" t="s">
        <v>61</v>
      </c>
      <c r="P122" s="25"/>
      <c r="Q122" s="25"/>
    </row>
    <row r="123">
      <c r="A123" s="12" t="s">
        <v>500</v>
      </c>
      <c r="B123" s="20"/>
      <c r="C123" s="20"/>
      <c r="D123" s="19"/>
      <c r="E123" s="19"/>
      <c r="F123" s="19"/>
      <c r="G123" s="19"/>
      <c r="O123" s="12" t="s">
        <v>49</v>
      </c>
      <c r="P123" s="25"/>
      <c r="Q123" s="25"/>
    </row>
    <row r="124">
      <c r="A124" s="12" t="s">
        <v>37</v>
      </c>
      <c r="B124" s="20"/>
      <c r="C124" s="20"/>
      <c r="D124" s="19"/>
      <c r="E124" s="19"/>
      <c r="F124" s="19"/>
      <c r="G124" s="19"/>
      <c r="O124" s="12" t="s">
        <v>49</v>
      </c>
      <c r="P124" s="25"/>
      <c r="Q124" s="25"/>
    </row>
    <row r="125">
      <c r="A125" s="12" t="s">
        <v>501</v>
      </c>
      <c r="B125" s="20"/>
      <c r="C125" s="20"/>
      <c r="D125" s="19"/>
      <c r="E125" s="19"/>
      <c r="F125" s="19"/>
      <c r="G125" s="19"/>
      <c r="O125" s="12" t="s">
        <v>49</v>
      </c>
      <c r="P125" s="25"/>
      <c r="Q125" s="25"/>
    </row>
    <row r="126">
      <c r="A126" s="12" t="s">
        <v>37</v>
      </c>
      <c r="B126" s="20"/>
      <c r="C126" s="20"/>
      <c r="D126" s="19"/>
      <c r="E126" s="19"/>
      <c r="F126" s="19"/>
      <c r="G126" s="19"/>
      <c r="O126" s="12" t="s">
        <v>49</v>
      </c>
      <c r="P126" s="25"/>
      <c r="Q126" s="25"/>
    </row>
    <row r="127">
      <c r="A127" s="12" t="s">
        <v>501</v>
      </c>
      <c r="B127" s="20"/>
      <c r="C127" s="20"/>
      <c r="D127" s="19"/>
      <c r="E127" s="19"/>
      <c r="F127" s="19"/>
      <c r="G127" s="19"/>
    </row>
    <row r="128">
      <c r="A128" s="12" t="s">
        <v>500</v>
      </c>
      <c r="B128" s="20"/>
      <c r="C128" s="20"/>
      <c r="D128" s="19"/>
      <c r="E128" s="19"/>
      <c r="F128" s="19"/>
      <c r="G128" s="19"/>
    </row>
    <row r="129">
      <c r="A129" s="12" t="s">
        <v>37</v>
      </c>
      <c r="B129" s="20"/>
      <c r="C129" s="20"/>
      <c r="D129" s="19"/>
      <c r="E129" s="19"/>
      <c r="F129" s="19"/>
      <c r="G129" s="19"/>
    </row>
    <row r="130">
      <c r="A130" s="12" t="s">
        <v>500</v>
      </c>
      <c r="B130" s="20"/>
      <c r="C130" s="20"/>
      <c r="D130" s="19"/>
      <c r="E130" s="19"/>
      <c r="F130" s="19"/>
      <c r="G130" s="19"/>
    </row>
    <row r="131">
      <c r="A131" s="12" t="s">
        <v>500</v>
      </c>
      <c r="B131" s="20"/>
      <c r="C131" s="20"/>
      <c r="D131" s="19"/>
      <c r="E131" s="19"/>
      <c r="F131" s="19"/>
      <c r="G131" s="19"/>
    </row>
    <row r="132">
      <c r="A132" s="12" t="s">
        <v>37</v>
      </c>
      <c r="B132" s="20"/>
      <c r="C132" s="20"/>
      <c r="D132" s="19"/>
      <c r="E132" s="19"/>
      <c r="F132" s="19"/>
      <c r="G132" s="19"/>
    </row>
    <row r="133">
      <c r="A133" s="12" t="s">
        <v>37</v>
      </c>
      <c r="B133" s="20"/>
      <c r="C133" s="20"/>
      <c r="D133" s="19"/>
      <c r="E133" s="19"/>
      <c r="F133" s="19"/>
      <c r="G133" s="19"/>
    </row>
    <row r="134">
      <c r="A134" s="12" t="s">
        <v>37</v>
      </c>
      <c r="B134" s="20"/>
      <c r="C134" s="20"/>
      <c r="D134" s="19"/>
      <c r="E134" s="19"/>
      <c r="F134" s="19"/>
      <c r="G134" s="19"/>
    </row>
    <row r="135">
      <c r="A135" s="12" t="s">
        <v>503</v>
      </c>
      <c r="B135" s="20"/>
      <c r="C135" s="20"/>
      <c r="D135" s="19"/>
      <c r="E135" s="19"/>
      <c r="F135" s="19"/>
      <c r="G135" s="19"/>
    </row>
    <row r="136">
      <c r="A136" s="12" t="s">
        <v>37</v>
      </c>
      <c r="B136" s="20"/>
      <c r="C136" s="20"/>
      <c r="D136" s="19"/>
      <c r="E136" s="19"/>
      <c r="F136" s="19"/>
      <c r="G136" s="19"/>
    </row>
    <row r="137">
      <c r="A137" s="12" t="s">
        <v>37</v>
      </c>
      <c r="B137" s="20"/>
      <c r="C137" s="20"/>
      <c r="D137" s="19"/>
      <c r="E137" s="19"/>
      <c r="F137" s="19"/>
      <c r="G137" s="19"/>
    </row>
    <row r="138">
      <c r="A138" s="12" t="s">
        <v>37</v>
      </c>
      <c r="B138" s="20"/>
      <c r="C138" s="20"/>
      <c r="D138" s="19"/>
      <c r="E138" s="19"/>
      <c r="F138" s="19"/>
      <c r="G138" s="19"/>
    </row>
    <row r="139">
      <c r="A139" s="12" t="s">
        <v>37</v>
      </c>
      <c r="B139" s="20"/>
      <c r="C139" s="20"/>
      <c r="D139" s="19"/>
      <c r="E139" s="19"/>
      <c r="F139" s="19"/>
      <c r="G139" s="19"/>
    </row>
    <row r="140">
      <c r="B140" s="20"/>
      <c r="C140" s="20"/>
      <c r="D140" s="19"/>
      <c r="E140" s="19"/>
      <c r="F140" s="19"/>
      <c r="G140" s="19"/>
    </row>
    <row r="141">
      <c r="A141" s="12" t="s">
        <v>27</v>
      </c>
      <c r="B141" s="28" t="s">
        <v>27</v>
      </c>
      <c r="C141" s="28">
        <f>COUNTIF(datasets!L$2:L1846, "*" &amp; B141 &amp; "*")
</f>
        <v>18</v>
      </c>
      <c r="D141" s="29" t="s">
        <v>27</v>
      </c>
      <c r="E141" s="30">
        <v>18.0</v>
      </c>
      <c r="F141" s="30"/>
      <c r="G141" s="30"/>
      <c r="H141" s="12"/>
      <c r="I141" s="12"/>
      <c r="J141" s="12"/>
      <c r="K141" s="12"/>
      <c r="L141" s="12"/>
      <c r="M141" s="12"/>
      <c r="N141" s="12"/>
      <c r="O141" s="12"/>
    </row>
    <row r="142">
      <c r="A142" s="12" t="s">
        <v>42</v>
      </c>
      <c r="B142" s="20" t="s">
        <v>107</v>
      </c>
      <c r="C142" s="28">
        <f>COUNTIF(datasets!L$2:L1846, "*" &amp; B142 &amp; "*")
</f>
        <v>16</v>
      </c>
      <c r="D142" s="31" t="s">
        <v>107</v>
      </c>
      <c r="E142" s="30">
        <v>16.0</v>
      </c>
      <c r="F142" s="30"/>
      <c r="G142" s="30"/>
      <c r="H142" s="12"/>
      <c r="I142" s="12"/>
      <c r="J142" s="12"/>
      <c r="K142" s="12"/>
      <c r="L142" s="12"/>
      <c r="M142" s="12"/>
      <c r="N142" s="12"/>
      <c r="O142" s="12"/>
    </row>
    <row r="143">
      <c r="A143" s="12" t="s">
        <v>52</v>
      </c>
      <c r="B143" s="28" t="s">
        <v>173</v>
      </c>
      <c r="C143" s="28">
        <f>COUNTIF(datasets!L$2:L1846, "*" &amp; B143 &amp; "*")
</f>
        <v>16</v>
      </c>
      <c r="D143" s="30" t="s">
        <v>173</v>
      </c>
      <c r="E143" s="30">
        <v>16.0</v>
      </c>
      <c r="F143" s="30"/>
      <c r="G143" s="30"/>
      <c r="H143" s="12"/>
      <c r="I143" s="12"/>
      <c r="J143" s="12"/>
      <c r="K143" s="12"/>
      <c r="L143" s="12"/>
      <c r="M143" s="12"/>
      <c r="N143" s="12"/>
      <c r="O143" s="12"/>
    </row>
    <row r="144">
      <c r="A144" s="12" t="s">
        <v>27</v>
      </c>
      <c r="B144" s="28" t="s">
        <v>504</v>
      </c>
      <c r="C144" s="28">
        <f>COUNTIF(datasets!L$2:L1846, "*" &amp; B144 &amp; "*")
</f>
        <v>11</v>
      </c>
      <c r="D144" s="30" t="s">
        <v>504</v>
      </c>
      <c r="E144" s="30">
        <v>11.0</v>
      </c>
      <c r="F144" s="30"/>
      <c r="G144" s="30"/>
      <c r="H144" s="12"/>
      <c r="I144" s="12"/>
      <c r="J144" s="12"/>
      <c r="K144" s="12"/>
      <c r="L144" s="12"/>
      <c r="M144" s="12"/>
      <c r="N144" s="12"/>
      <c r="O144" s="12"/>
    </row>
    <row r="145">
      <c r="A145" s="12" t="s">
        <v>71</v>
      </c>
      <c r="B145" s="20" t="s">
        <v>125</v>
      </c>
      <c r="C145" s="28">
        <f>COUNTIF(datasets!L$2:L1846, "*" &amp; B145 &amp; "*")
</f>
        <v>11</v>
      </c>
      <c r="D145" s="19" t="s">
        <v>125</v>
      </c>
      <c r="E145" s="30">
        <v>11.0</v>
      </c>
      <c r="F145" s="30"/>
      <c r="G145" s="30"/>
      <c r="H145" s="12"/>
      <c r="I145" s="12"/>
      <c r="J145" s="12"/>
      <c r="K145" s="12"/>
      <c r="L145" s="12"/>
      <c r="M145" s="12"/>
      <c r="N145" s="12"/>
      <c r="O145" s="12"/>
    </row>
    <row r="146">
      <c r="A146" s="12" t="s">
        <v>504</v>
      </c>
      <c r="B146" s="20" t="s">
        <v>294</v>
      </c>
      <c r="C146" s="28">
        <f>COUNTIF(datasets!L$2:L1846, "*" &amp; B146 &amp; "*")
</f>
        <v>10</v>
      </c>
      <c r="D146" s="19" t="s">
        <v>294</v>
      </c>
      <c r="E146" s="30">
        <v>10.0</v>
      </c>
      <c r="F146" s="30"/>
      <c r="G146" s="30"/>
      <c r="H146" s="12"/>
      <c r="I146" s="12"/>
      <c r="J146" s="12"/>
      <c r="K146" s="12"/>
      <c r="L146" s="12"/>
      <c r="M146" s="12"/>
      <c r="N146" s="12"/>
      <c r="O146" s="12"/>
    </row>
    <row r="147">
      <c r="A147" s="12" t="s">
        <v>125</v>
      </c>
      <c r="B147" s="28" t="s">
        <v>42</v>
      </c>
      <c r="C147" s="28">
        <f>COUNTIF(datasets!L$2:L1846, "*" &amp; B147 &amp; "*")
</f>
        <v>10</v>
      </c>
      <c r="D147" s="30" t="s">
        <v>42</v>
      </c>
      <c r="E147" s="30">
        <v>10.0</v>
      </c>
      <c r="F147" s="30"/>
      <c r="G147" s="30"/>
      <c r="H147" s="12"/>
      <c r="I147" s="12"/>
      <c r="J147" s="12"/>
      <c r="K147" s="12"/>
      <c r="L147" s="12"/>
      <c r="M147" s="12"/>
      <c r="N147" s="12"/>
      <c r="O147" s="12"/>
    </row>
    <row r="148">
      <c r="A148" s="12" t="s">
        <v>27</v>
      </c>
      <c r="B148" s="28" t="s">
        <v>505</v>
      </c>
      <c r="C148" s="28">
        <f>COUNTIF(datasets!L$2:L1846, "*" &amp; B148 &amp; "*")
</f>
        <v>9</v>
      </c>
      <c r="D148" s="30" t="s">
        <v>505</v>
      </c>
      <c r="E148" s="30">
        <v>9.0</v>
      </c>
      <c r="F148" s="30"/>
      <c r="G148" s="30"/>
      <c r="H148" s="12"/>
      <c r="I148" s="12"/>
      <c r="J148" s="12"/>
      <c r="K148" s="12"/>
      <c r="L148" s="12"/>
      <c r="M148" s="12"/>
      <c r="N148" s="12"/>
      <c r="O148" s="12"/>
    </row>
    <row r="149">
      <c r="A149" s="12" t="s">
        <v>107</v>
      </c>
      <c r="B149" s="28" t="s">
        <v>506</v>
      </c>
      <c r="C149" s="28">
        <f>COUNTIF(datasets!L$2:L1846, "*" &amp; B149 &amp; "*")
</f>
        <v>7</v>
      </c>
      <c r="D149" s="30" t="s">
        <v>506</v>
      </c>
      <c r="E149" s="30">
        <v>7.0</v>
      </c>
      <c r="F149" s="30"/>
      <c r="G149" s="30"/>
      <c r="H149" s="12"/>
      <c r="I149" s="12"/>
      <c r="J149" s="12"/>
      <c r="K149" s="12"/>
      <c r="L149" s="12"/>
      <c r="M149" s="12"/>
      <c r="N149" s="12"/>
      <c r="O149" s="12"/>
    </row>
    <row r="150">
      <c r="A150" s="12" t="s">
        <v>42</v>
      </c>
      <c r="B150" s="28" t="s">
        <v>507</v>
      </c>
      <c r="C150" s="28">
        <f>COUNTIF(datasets!L$2:L1846, "*" &amp; B150 &amp; "*")
</f>
        <v>7</v>
      </c>
      <c r="D150" s="30" t="s">
        <v>507</v>
      </c>
      <c r="E150" s="30">
        <v>7.0</v>
      </c>
      <c r="F150" s="30"/>
      <c r="H150" s="12" t="s">
        <v>508</v>
      </c>
      <c r="I150" s="12"/>
      <c r="J150" s="12"/>
      <c r="K150" s="12"/>
      <c r="L150" s="12" t="s">
        <v>509</v>
      </c>
      <c r="M150" s="12" t="s">
        <v>510</v>
      </c>
      <c r="N150" s="12" t="s">
        <v>511</v>
      </c>
      <c r="O150" s="12" t="s">
        <v>512</v>
      </c>
      <c r="P150" s="12" t="s">
        <v>513</v>
      </c>
      <c r="Q150" s="12" t="s">
        <v>514</v>
      </c>
      <c r="R150" s="12" t="s">
        <v>515</v>
      </c>
      <c r="S150" s="12"/>
      <c r="T150" s="12"/>
      <c r="U150" s="12"/>
      <c r="V150" s="12"/>
      <c r="W150" s="12"/>
      <c r="X150" s="12"/>
      <c r="Y150" s="12"/>
      <c r="Z150" s="12"/>
      <c r="AA150" s="12"/>
      <c r="AB150" s="12"/>
      <c r="AC150" s="12"/>
    </row>
    <row r="151">
      <c r="A151" s="32" t="s">
        <v>42</v>
      </c>
      <c r="B151" s="28" t="s">
        <v>516</v>
      </c>
      <c r="C151" s="28">
        <f>COUNTIF(datasets!L$2:L1846, "*" &amp; B151 &amp; "*")
</f>
        <v>7</v>
      </c>
      <c r="D151" s="30" t="s">
        <v>516</v>
      </c>
      <c r="E151" s="30">
        <v>7.0</v>
      </c>
      <c r="F151" s="33"/>
      <c r="G151" s="33"/>
      <c r="H151" s="12"/>
      <c r="I151" s="12"/>
      <c r="J151" s="12"/>
      <c r="K151" s="12"/>
      <c r="L151" s="12"/>
      <c r="M151" s="12"/>
      <c r="N151" s="12"/>
      <c r="O151" s="12"/>
      <c r="P151" s="12"/>
      <c r="Q151" s="12"/>
      <c r="R151" s="12"/>
      <c r="S151" s="12"/>
      <c r="T151" s="12"/>
      <c r="U151" s="12"/>
      <c r="V151" s="12"/>
      <c r="W151" s="12"/>
      <c r="X151" s="12"/>
      <c r="Y151" s="12"/>
      <c r="Z151" s="12"/>
      <c r="AA151" s="12"/>
      <c r="AB151" s="12"/>
      <c r="AC151" s="12"/>
    </row>
    <row r="152">
      <c r="A152" s="12" t="s">
        <v>125</v>
      </c>
      <c r="B152" s="28" t="s">
        <v>517</v>
      </c>
      <c r="C152" s="28">
        <f>COUNTIF(datasets!L$2:L1846, "*" &amp; B152 &amp; "*")
</f>
        <v>7</v>
      </c>
      <c r="D152" s="30" t="s">
        <v>517</v>
      </c>
      <c r="E152" s="30">
        <v>7.0</v>
      </c>
      <c r="F152" s="30"/>
      <c r="G152" s="30"/>
      <c r="H152" s="12" t="s">
        <v>518</v>
      </c>
      <c r="I152" s="12"/>
      <c r="J152" s="12"/>
      <c r="K152" s="12"/>
      <c r="L152" s="12" t="s">
        <v>519</v>
      </c>
      <c r="M152" s="12" t="s">
        <v>520</v>
      </c>
      <c r="N152" s="12" t="s">
        <v>521</v>
      </c>
      <c r="O152" s="12" t="s">
        <v>503</v>
      </c>
      <c r="P152" s="12"/>
      <c r="Q152" s="12"/>
      <c r="R152" s="12"/>
      <c r="S152" s="12"/>
      <c r="T152" s="12"/>
      <c r="U152" s="12"/>
      <c r="V152" s="12"/>
      <c r="W152" s="12"/>
      <c r="X152" s="12"/>
      <c r="Y152" s="12"/>
      <c r="Z152" s="12"/>
      <c r="AA152" s="12"/>
      <c r="AB152" s="12"/>
      <c r="AC152" s="12"/>
    </row>
    <row r="153">
      <c r="A153" s="12" t="s">
        <v>27</v>
      </c>
      <c r="B153" s="28" t="s">
        <v>522</v>
      </c>
      <c r="C153" s="28">
        <f>COUNTIF(datasets!L$2:L1846, "*" &amp; B153 &amp; "*")
</f>
        <v>7</v>
      </c>
      <c r="D153" s="30" t="s">
        <v>522</v>
      </c>
      <c r="E153" s="30">
        <v>7.0</v>
      </c>
      <c r="F153" s="30"/>
      <c r="G153" s="30"/>
      <c r="H153" s="12"/>
      <c r="I153" s="12"/>
      <c r="J153" s="12"/>
      <c r="K153" s="12"/>
      <c r="L153" s="12"/>
      <c r="M153" s="12"/>
      <c r="N153" s="12"/>
      <c r="O153" s="12"/>
      <c r="P153" s="12"/>
      <c r="Q153" s="12"/>
      <c r="R153" s="12"/>
      <c r="S153" s="12"/>
      <c r="T153" s="12"/>
      <c r="U153" s="12"/>
      <c r="V153" s="12"/>
      <c r="W153" s="12"/>
      <c r="X153" s="12"/>
      <c r="Y153" s="12"/>
      <c r="Z153" s="12"/>
      <c r="AA153" s="12"/>
      <c r="AB153" s="12"/>
      <c r="AC153" s="12"/>
    </row>
    <row r="154">
      <c r="A154" s="12" t="s">
        <v>42</v>
      </c>
      <c r="B154" s="28" t="s">
        <v>204</v>
      </c>
      <c r="C154" s="28">
        <f>COUNTIF(datasets!L$2:L1846, "*" &amp; B154 &amp; "*")
</f>
        <v>7</v>
      </c>
      <c r="D154" s="30" t="s">
        <v>204</v>
      </c>
      <c r="E154" s="30">
        <v>7.0</v>
      </c>
      <c r="F154" s="30"/>
      <c r="G154" s="30"/>
      <c r="H154" s="12" t="s">
        <v>523</v>
      </c>
      <c r="I154" s="12"/>
      <c r="J154" s="12"/>
      <c r="K154" s="12"/>
      <c r="L154" s="12" t="s">
        <v>524</v>
      </c>
      <c r="M154" s="12" t="s">
        <v>525</v>
      </c>
      <c r="N154" s="12" t="s">
        <v>526</v>
      </c>
      <c r="O154" s="12" t="s">
        <v>527</v>
      </c>
      <c r="P154" s="12" t="s">
        <v>528</v>
      </c>
      <c r="Q154" s="12" t="s">
        <v>529</v>
      </c>
      <c r="R154" s="12" t="s">
        <v>530</v>
      </c>
      <c r="S154" s="12" t="s">
        <v>531</v>
      </c>
      <c r="T154" s="12" t="s">
        <v>532</v>
      </c>
      <c r="U154" s="12" t="s">
        <v>533</v>
      </c>
      <c r="V154" s="12" t="s">
        <v>534</v>
      </c>
      <c r="W154" s="12" t="s">
        <v>535</v>
      </c>
      <c r="X154" s="12" t="s">
        <v>536</v>
      </c>
      <c r="Y154" s="12" t="s">
        <v>537</v>
      </c>
      <c r="Z154" s="12" t="s">
        <v>538</v>
      </c>
      <c r="AA154" s="12" t="s">
        <v>539</v>
      </c>
      <c r="AB154" s="12" t="s">
        <v>540</v>
      </c>
      <c r="AC154" s="12" t="s">
        <v>541</v>
      </c>
    </row>
    <row r="155">
      <c r="A155" s="12" t="s">
        <v>27</v>
      </c>
      <c r="B155" s="28" t="s">
        <v>542</v>
      </c>
      <c r="C155" s="28">
        <f>COUNTIF(datasets!L$2:L1846, "*" &amp; B155 &amp; "*")
</f>
        <v>7</v>
      </c>
      <c r="D155" s="30" t="s">
        <v>542</v>
      </c>
      <c r="E155" s="30">
        <v>7.0</v>
      </c>
      <c r="F155" s="30"/>
      <c r="G155" s="30"/>
      <c r="H155" s="12"/>
      <c r="I155" s="12"/>
      <c r="J155" s="12"/>
      <c r="K155" s="12"/>
      <c r="L155" s="12"/>
      <c r="M155" s="12"/>
      <c r="N155" s="12"/>
      <c r="O155" s="12"/>
      <c r="P155" s="12"/>
      <c r="Q155" s="12"/>
      <c r="R155" s="12"/>
      <c r="S155" s="12"/>
      <c r="T155" s="12"/>
      <c r="U155" s="12"/>
      <c r="V155" s="12"/>
      <c r="W155" s="12"/>
      <c r="X155" s="12"/>
      <c r="Y155" s="12"/>
      <c r="Z155" s="12"/>
      <c r="AA155" s="12"/>
      <c r="AB155" s="12"/>
      <c r="AC155" s="12"/>
    </row>
    <row r="156">
      <c r="A156" s="12" t="s">
        <v>153</v>
      </c>
      <c r="B156" s="34" t="s">
        <v>63</v>
      </c>
      <c r="C156" s="28">
        <f>COUNTIF(datasets!L$2:L1846, "*" &amp; B156 &amp; "*")
</f>
        <v>6</v>
      </c>
      <c r="D156" s="35" t="s">
        <v>63</v>
      </c>
      <c r="E156" s="30">
        <v>6.0</v>
      </c>
      <c r="F156" s="30"/>
      <c r="G156" s="30"/>
      <c r="H156" s="12"/>
      <c r="I156" s="12"/>
      <c r="J156" s="12"/>
      <c r="K156" s="12"/>
      <c r="L156" s="12"/>
      <c r="M156" s="12"/>
      <c r="N156" s="12"/>
      <c r="O156" s="12"/>
      <c r="P156" s="12"/>
      <c r="Q156" s="12"/>
      <c r="R156" s="12"/>
      <c r="S156" s="12"/>
      <c r="T156" s="12"/>
      <c r="U156" s="12"/>
      <c r="V156" s="12"/>
      <c r="W156" s="12"/>
      <c r="X156" s="12"/>
      <c r="Y156" s="12"/>
      <c r="Z156" s="12"/>
      <c r="AA156" s="12"/>
      <c r="AB156" s="12"/>
      <c r="AC156" s="12"/>
    </row>
    <row r="157">
      <c r="A157" s="12" t="s">
        <v>42</v>
      </c>
      <c r="B157" s="28" t="s">
        <v>52</v>
      </c>
      <c r="C157" s="28">
        <f>COUNTIF(datasets!L$2:L1846, "*" &amp; B157 &amp; "*")
</f>
        <v>3</v>
      </c>
      <c r="D157" s="36" t="s">
        <v>52</v>
      </c>
      <c r="E157" s="30">
        <v>3.0</v>
      </c>
      <c r="F157" s="30"/>
      <c r="G157" s="30"/>
      <c r="H157" s="12" t="s">
        <v>543</v>
      </c>
      <c r="I157" s="12"/>
      <c r="J157" s="12"/>
      <c r="K157" s="12"/>
      <c r="L157" s="12" t="s">
        <v>544</v>
      </c>
      <c r="M157" s="12"/>
      <c r="N157" s="12"/>
      <c r="O157" s="12"/>
      <c r="P157" s="12"/>
      <c r="Q157" s="12"/>
      <c r="R157" s="12"/>
      <c r="S157" s="12"/>
      <c r="T157" s="12"/>
      <c r="U157" s="12"/>
      <c r="V157" s="12"/>
      <c r="W157" s="12"/>
      <c r="X157" s="12"/>
      <c r="Y157" s="12"/>
      <c r="Z157" s="12"/>
      <c r="AA157" s="12"/>
      <c r="AB157" s="12"/>
      <c r="AC157" s="12"/>
    </row>
    <row r="158">
      <c r="A158" s="12" t="s">
        <v>204</v>
      </c>
      <c r="B158" s="28" t="s">
        <v>545</v>
      </c>
      <c r="C158" s="28">
        <f>COUNTIF(datasets!L$2:L1846, "*" &amp; B158 &amp; "*")
</f>
        <v>2</v>
      </c>
      <c r="D158" s="30" t="s">
        <v>545</v>
      </c>
      <c r="E158" s="30">
        <v>2.0</v>
      </c>
      <c r="F158" s="30"/>
      <c r="G158" s="30"/>
      <c r="H158" s="12" t="s">
        <v>546</v>
      </c>
      <c r="I158" s="12"/>
      <c r="J158" s="12"/>
      <c r="K158" s="12"/>
      <c r="L158" s="12" t="s">
        <v>547</v>
      </c>
      <c r="M158" s="12"/>
      <c r="N158" s="12"/>
      <c r="O158" s="12"/>
      <c r="P158" s="12"/>
      <c r="Q158" s="12"/>
      <c r="R158" s="12"/>
      <c r="S158" s="12"/>
      <c r="T158" s="12"/>
      <c r="U158" s="12"/>
      <c r="V158" s="12"/>
      <c r="W158" s="12"/>
      <c r="X158" s="12"/>
      <c r="Y158" s="12"/>
      <c r="Z158" s="12"/>
      <c r="AA158" s="12"/>
      <c r="AB158" s="12"/>
      <c r="AC158" s="12"/>
    </row>
    <row r="159">
      <c r="A159" s="12" t="s">
        <v>173</v>
      </c>
      <c r="B159" s="28" t="s">
        <v>303</v>
      </c>
      <c r="C159" s="28">
        <f>COUNTIF(datasets!L$2:L1846, "*" &amp; B159 &amp; "*")
</f>
        <v>2</v>
      </c>
      <c r="D159" s="30" t="s">
        <v>303</v>
      </c>
      <c r="E159" s="30">
        <v>2.0</v>
      </c>
      <c r="F159" s="30"/>
      <c r="G159" s="30"/>
      <c r="H159" s="12" t="s">
        <v>546</v>
      </c>
      <c r="I159" s="12"/>
      <c r="J159" s="12"/>
      <c r="K159" s="12"/>
      <c r="L159" s="12" t="s">
        <v>547</v>
      </c>
      <c r="M159" s="12"/>
      <c r="N159" s="12"/>
      <c r="O159" s="12"/>
      <c r="P159" s="12"/>
      <c r="Q159" s="12"/>
      <c r="R159" s="12"/>
      <c r="S159" s="12"/>
      <c r="T159" s="12"/>
      <c r="U159" s="12"/>
      <c r="V159" s="12"/>
      <c r="W159" s="12"/>
      <c r="X159" s="12"/>
      <c r="Y159" s="12"/>
      <c r="Z159" s="12"/>
      <c r="AA159" s="12"/>
      <c r="AB159" s="12"/>
      <c r="AC159" s="12"/>
    </row>
    <row r="160">
      <c r="A160" s="12" t="s">
        <v>27</v>
      </c>
      <c r="B160" s="20" t="s">
        <v>548</v>
      </c>
      <c r="C160" s="28">
        <f>COUNTIF(datasets!L$2:L1846, "*" &amp; B160 &amp; "*")
</f>
        <v>1</v>
      </c>
      <c r="D160" s="29" t="s">
        <v>549</v>
      </c>
      <c r="E160" s="30">
        <v>7.0</v>
      </c>
      <c r="F160" s="30"/>
      <c r="G160" s="30"/>
      <c r="H160" s="12" t="s">
        <v>546</v>
      </c>
      <c r="I160" s="12"/>
      <c r="J160" s="12"/>
      <c r="K160" s="12"/>
      <c r="L160" s="12" t="s">
        <v>547</v>
      </c>
      <c r="M160" s="12"/>
      <c r="N160" s="12"/>
      <c r="O160" s="12"/>
      <c r="P160" s="12"/>
      <c r="Q160" s="12"/>
      <c r="R160" s="12"/>
      <c r="S160" s="12"/>
      <c r="T160" s="12"/>
      <c r="U160" s="12"/>
      <c r="V160" s="12"/>
      <c r="W160" s="12"/>
      <c r="X160" s="12"/>
      <c r="Y160" s="12"/>
      <c r="Z160" s="12"/>
      <c r="AA160" s="12"/>
      <c r="AB160" s="12"/>
      <c r="AC160" s="12"/>
    </row>
    <row r="161">
      <c r="A161" s="12" t="s">
        <v>27</v>
      </c>
      <c r="B161" s="28" t="s">
        <v>71</v>
      </c>
      <c r="C161" s="28">
        <f>COUNTIF(datasets!L$2:L1846, "*" &amp; B161 &amp; "*")
</f>
        <v>1</v>
      </c>
      <c r="D161" s="30"/>
      <c r="E161" s="30"/>
      <c r="F161" s="30"/>
      <c r="G161" s="30"/>
      <c r="H161" s="12" t="s">
        <v>550</v>
      </c>
      <c r="I161" s="12"/>
      <c r="J161" s="12"/>
      <c r="K161" s="12"/>
      <c r="L161" s="12" t="s">
        <v>551</v>
      </c>
      <c r="M161" s="12"/>
      <c r="N161" s="12"/>
      <c r="O161" s="12"/>
      <c r="P161" s="12"/>
      <c r="Q161" s="12"/>
      <c r="R161" s="12"/>
      <c r="S161" s="12"/>
      <c r="T161" s="12"/>
      <c r="U161" s="12"/>
      <c r="V161" s="12"/>
      <c r="W161" s="12"/>
      <c r="X161" s="12"/>
      <c r="Y161" s="12"/>
      <c r="Z161" s="12"/>
      <c r="AA161" s="12"/>
      <c r="AB161" s="12"/>
      <c r="AC161" s="12"/>
    </row>
    <row r="162">
      <c r="A162" s="12" t="s">
        <v>63</v>
      </c>
      <c r="B162" s="28" t="s">
        <v>153</v>
      </c>
      <c r="C162" s="28">
        <f>COUNTIF(datasets!L$2:L1846, "*" &amp; B162 &amp; "*")
</f>
        <v>1</v>
      </c>
      <c r="D162" s="30"/>
      <c r="E162" s="30"/>
      <c r="F162" s="30"/>
      <c r="G162" s="30"/>
      <c r="H162" s="12"/>
      <c r="I162" s="12"/>
      <c r="J162" s="12"/>
      <c r="K162" s="12"/>
      <c r="L162" s="12"/>
      <c r="M162" s="12"/>
      <c r="N162" s="12"/>
      <c r="O162" s="12"/>
      <c r="P162" s="12"/>
      <c r="Q162" s="12"/>
      <c r="R162" s="12"/>
      <c r="S162" s="12"/>
      <c r="T162" s="12"/>
      <c r="U162" s="12"/>
      <c r="V162" s="12"/>
      <c r="W162" s="12"/>
      <c r="X162" s="12"/>
      <c r="Y162" s="12"/>
      <c r="Z162" s="12"/>
      <c r="AA162" s="12"/>
      <c r="AB162" s="12"/>
      <c r="AC162" s="12"/>
    </row>
    <row r="163">
      <c r="A163" s="12" t="s">
        <v>63</v>
      </c>
      <c r="B163" s="28" t="s">
        <v>240</v>
      </c>
      <c r="C163" s="28">
        <f>COUNTIF(datasets!L$2:L1846, "*" &amp; B163 &amp; "*")
</f>
        <v>1</v>
      </c>
      <c r="D163" s="30"/>
      <c r="E163" s="30"/>
      <c r="F163" s="30"/>
      <c r="G163" s="30"/>
      <c r="H163" s="12" t="s">
        <v>546</v>
      </c>
      <c r="I163" s="12"/>
      <c r="J163" s="12"/>
      <c r="K163" s="12"/>
      <c r="L163" s="12" t="s">
        <v>547</v>
      </c>
      <c r="M163" s="12"/>
      <c r="N163" s="12"/>
      <c r="O163" s="12"/>
      <c r="P163" s="12"/>
      <c r="Q163" s="12"/>
      <c r="R163" s="12"/>
      <c r="S163" s="12"/>
      <c r="T163" s="12"/>
      <c r="U163" s="12"/>
      <c r="V163" s="12"/>
      <c r="W163" s="12"/>
      <c r="X163" s="12"/>
      <c r="Y163" s="12"/>
      <c r="Z163" s="12"/>
      <c r="AA163" s="12"/>
      <c r="AB163" s="12"/>
      <c r="AC163" s="12"/>
    </row>
    <row r="164">
      <c r="A164" s="12" t="s">
        <v>63</v>
      </c>
      <c r="B164" s="28" t="s">
        <v>249</v>
      </c>
      <c r="C164" s="28">
        <f>COUNTIF(datasets!L$2:L1846, "*" &amp; B164 &amp; "*")
</f>
        <v>1</v>
      </c>
      <c r="D164" s="30"/>
      <c r="E164" s="30"/>
      <c r="F164" s="30"/>
      <c r="G164" s="30"/>
      <c r="H164" s="12"/>
      <c r="I164" s="12"/>
      <c r="J164" s="12"/>
      <c r="K164" s="12"/>
      <c r="L164" s="12"/>
      <c r="M164" s="12"/>
      <c r="N164" s="12"/>
      <c r="O164" s="12"/>
      <c r="P164" s="12"/>
      <c r="Q164" s="12"/>
      <c r="R164" s="12"/>
      <c r="S164" s="12"/>
      <c r="T164" s="12"/>
      <c r="U164" s="12"/>
      <c r="V164" s="12"/>
      <c r="W164" s="12"/>
      <c r="X164" s="12"/>
      <c r="Y164" s="12"/>
      <c r="Z164" s="12"/>
      <c r="AA164" s="12"/>
      <c r="AB164" s="12"/>
      <c r="AC164" s="12"/>
    </row>
    <row r="165">
      <c r="A165" s="12" t="s">
        <v>204</v>
      </c>
      <c r="B165" s="28" t="s">
        <v>312</v>
      </c>
      <c r="C165" s="28">
        <f>COUNTIF(datasets!L$2:L1846, "*" &amp; B165 &amp; "*")
</f>
        <v>1</v>
      </c>
      <c r="D165" s="30"/>
      <c r="E165" s="30"/>
      <c r="F165" s="30"/>
      <c r="G165" s="30"/>
      <c r="H165" s="12" t="s">
        <v>371</v>
      </c>
      <c r="I165" s="12"/>
      <c r="J165" s="12"/>
      <c r="K165" s="12"/>
      <c r="L165" s="12" t="s">
        <v>552</v>
      </c>
      <c r="M165" s="12" t="s">
        <v>553</v>
      </c>
      <c r="N165" s="12" t="s">
        <v>554</v>
      </c>
      <c r="O165" s="12" t="s">
        <v>555</v>
      </c>
      <c r="P165" s="12" t="s">
        <v>556</v>
      </c>
      <c r="Q165" s="12" t="s">
        <v>557</v>
      </c>
      <c r="R165" s="12" t="s">
        <v>558</v>
      </c>
      <c r="S165" s="12" t="s">
        <v>559</v>
      </c>
      <c r="T165" s="12" t="s">
        <v>560</v>
      </c>
      <c r="U165" s="12" t="s">
        <v>561</v>
      </c>
      <c r="V165" s="12" t="s">
        <v>562</v>
      </c>
      <c r="W165" s="12" t="s">
        <v>563</v>
      </c>
      <c r="X165" s="12" t="s">
        <v>564</v>
      </c>
      <c r="Y165" s="12" t="s">
        <v>565</v>
      </c>
      <c r="Z165" s="12" t="s">
        <v>566</v>
      </c>
      <c r="AA165" s="12"/>
      <c r="AB165" s="12"/>
      <c r="AC165" s="12"/>
    </row>
    <row r="166">
      <c r="A166" s="12" t="s">
        <v>204</v>
      </c>
      <c r="B166" s="28" t="s">
        <v>567</v>
      </c>
      <c r="C166" s="28">
        <f>COUNTIF(datasets!L$2:L1846, "*" &amp; B166 &amp; "*")
</f>
        <v>1</v>
      </c>
      <c r="D166" s="30"/>
      <c r="E166" s="30"/>
      <c r="F166" s="30"/>
      <c r="G166" s="30"/>
      <c r="H166" s="12"/>
      <c r="I166" s="12"/>
      <c r="J166" s="12"/>
      <c r="K166" s="12"/>
      <c r="L166" s="12"/>
      <c r="M166" s="12"/>
      <c r="N166" s="12"/>
      <c r="O166" s="12"/>
      <c r="P166" s="12"/>
      <c r="Q166" s="12"/>
      <c r="R166" s="12"/>
      <c r="S166" s="12"/>
      <c r="T166" s="12"/>
      <c r="U166" s="12"/>
      <c r="V166" s="12"/>
      <c r="W166" s="12"/>
      <c r="X166" s="12"/>
      <c r="Y166" s="12"/>
      <c r="Z166" s="12"/>
      <c r="AA166" s="12"/>
      <c r="AB166" s="12"/>
      <c r="AC166" s="12"/>
    </row>
    <row r="167">
      <c r="A167" s="12" t="s">
        <v>107</v>
      </c>
      <c r="B167" s="28"/>
      <c r="C167" s="28"/>
      <c r="D167" s="30"/>
      <c r="E167" s="30"/>
      <c r="F167" s="30"/>
      <c r="G167" s="30"/>
      <c r="H167" s="12" t="s">
        <v>568</v>
      </c>
      <c r="I167" s="12"/>
      <c r="J167" s="12"/>
      <c r="K167" s="12"/>
      <c r="L167" s="12" t="s">
        <v>569</v>
      </c>
      <c r="M167" s="12" t="s">
        <v>570</v>
      </c>
      <c r="N167" s="12" t="s">
        <v>571</v>
      </c>
      <c r="O167" s="12" t="s">
        <v>572</v>
      </c>
      <c r="P167" s="12" t="s">
        <v>573</v>
      </c>
      <c r="Q167" s="12" t="s">
        <v>574</v>
      </c>
      <c r="R167" s="12" t="s">
        <v>575</v>
      </c>
      <c r="S167" s="12" t="s">
        <v>576</v>
      </c>
      <c r="T167" s="12" t="s">
        <v>37</v>
      </c>
      <c r="U167" s="12"/>
      <c r="V167" s="12"/>
      <c r="W167" s="12"/>
      <c r="X167" s="12"/>
      <c r="Y167" s="12"/>
      <c r="Z167" s="12"/>
      <c r="AA167" s="12"/>
      <c r="AB167" s="12"/>
      <c r="AC167" s="12"/>
    </row>
    <row r="168">
      <c r="A168" s="12" t="s">
        <v>107</v>
      </c>
      <c r="B168" s="28"/>
      <c r="C168" s="28"/>
      <c r="D168" s="30"/>
      <c r="E168" s="30"/>
      <c r="F168" s="30"/>
      <c r="G168" s="30"/>
      <c r="H168" s="12" t="s">
        <v>550</v>
      </c>
      <c r="I168" s="12"/>
      <c r="J168" s="12"/>
      <c r="K168" s="12"/>
      <c r="L168" s="12" t="s">
        <v>551</v>
      </c>
      <c r="M168" s="12"/>
      <c r="N168" s="12"/>
      <c r="O168" s="12"/>
      <c r="P168" s="12"/>
      <c r="Q168" s="12"/>
      <c r="R168" s="12"/>
      <c r="S168" s="12"/>
      <c r="T168" s="12"/>
      <c r="U168" s="12"/>
      <c r="V168" s="12"/>
      <c r="W168" s="12"/>
      <c r="X168" s="12"/>
      <c r="Y168" s="12"/>
      <c r="Z168" s="12"/>
      <c r="AA168" s="12"/>
      <c r="AB168" s="12"/>
      <c r="AC168" s="12"/>
    </row>
    <row r="169">
      <c r="A169" s="12" t="s">
        <v>63</v>
      </c>
      <c r="B169" s="28"/>
      <c r="C169" s="28"/>
      <c r="D169" s="30"/>
      <c r="E169" s="30"/>
      <c r="F169" s="30"/>
      <c r="G169" s="30"/>
      <c r="H169" s="12" t="s">
        <v>546</v>
      </c>
      <c r="I169" s="12"/>
      <c r="J169" s="12"/>
      <c r="K169" s="12"/>
      <c r="L169" s="12" t="s">
        <v>547</v>
      </c>
      <c r="M169" s="12"/>
      <c r="N169" s="12"/>
      <c r="O169" s="12"/>
      <c r="P169" s="12"/>
      <c r="Q169" s="12"/>
      <c r="R169" s="12"/>
      <c r="S169" s="12"/>
      <c r="T169" s="12"/>
      <c r="U169" s="12"/>
      <c r="V169" s="12"/>
      <c r="W169" s="12"/>
      <c r="X169" s="12"/>
      <c r="Y169" s="12"/>
      <c r="Z169" s="12"/>
      <c r="AA169" s="12"/>
      <c r="AB169" s="12"/>
      <c r="AC169" s="12"/>
    </row>
    <row r="170">
      <c r="A170" s="12" t="s">
        <v>204</v>
      </c>
      <c r="B170" s="28"/>
      <c r="C170" s="28"/>
      <c r="D170" s="30"/>
      <c r="E170" s="30"/>
      <c r="F170" s="30"/>
      <c r="G170" s="30"/>
      <c r="H170" s="12" t="s">
        <v>546</v>
      </c>
      <c r="I170" s="12"/>
      <c r="J170" s="12"/>
      <c r="K170" s="12"/>
      <c r="L170" s="12" t="s">
        <v>547</v>
      </c>
      <c r="M170" s="12"/>
      <c r="N170" s="12"/>
      <c r="O170" s="12"/>
      <c r="P170" s="12"/>
      <c r="Q170" s="12"/>
      <c r="R170" s="12"/>
      <c r="S170" s="12"/>
      <c r="T170" s="12"/>
      <c r="U170" s="12"/>
      <c r="V170" s="12"/>
      <c r="W170" s="12"/>
      <c r="X170" s="12"/>
      <c r="Y170" s="12"/>
      <c r="Z170" s="12"/>
      <c r="AA170" s="12"/>
      <c r="AB170" s="12"/>
      <c r="AC170" s="12"/>
    </row>
    <row r="171">
      <c r="A171" s="12" t="s">
        <v>240</v>
      </c>
      <c r="B171" s="28"/>
      <c r="C171" s="28"/>
      <c r="D171" s="30"/>
      <c r="E171" s="30"/>
      <c r="F171" s="30"/>
      <c r="G171" s="30"/>
      <c r="H171" s="12" t="s">
        <v>577</v>
      </c>
      <c r="I171" s="12"/>
      <c r="J171" s="12"/>
      <c r="K171" s="12"/>
      <c r="L171" s="12" t="s">
        <v>578</v>
      </c>
      <c r="M171" s="12"/>
      <c r="N171" s="12"/>
      <c r="O171" s="12"/>
      <c r="P171" s="12"/>
      <c r="Q171" s="12"/>
      <c r="R171" s="12"/>
      <c r="S171" s="12"/>
      <c r="T171" s="12"/>
      <c r="U171" s="12"/>
      <c r="V171" s="12"/>
      <c r="W171" s="12"/>
      <c r="X171" s="12"/>
      <c r="Y171" s="12"/>
      <c r="Z171" s="12"/>
      <c r="AA171" s="12"/>
      <c r="AB171" s="12"/>
      <c r="AC171" s="12"/>
    </row>
    <row r="172">
      <c r="A172" s="12" t="s">
        <v>249</v>
      </c>
      <c r="B172" s="28"/>
      <c r="C172" s="28"/>
      <c r="D172" s="30"/>
      <c r="E172" s="30"/>
      <c r="F172" s="30"/>
      <c r="G172" s="30"/>
      <c r="H172" s="12" t="s">
        <v>577</v>
      </c>
      <c r="I172" s="12"/>
      <c r="J172" s="12"/>
      <c r="K172" s="12"/>
      <c r="L172" s="12" t="s">
        <v>578</v>
      </c>
      <c r="M172" s="12"/>
      <c r="N172" s="12"/>
      <c r="O172" s="12"/>
      <c r="P172" s="12"/>
      <c r="Q172" s="12"/>
      <c r="R172" s="12"/>
      <c r="S172" s="12"/>
      <c r="T172" s="12"/>
      <c r="U172" s="12"/>
      <c r="V172" s="12"/>
      <c r="W172" s="12"/>
      <c r="X172" s="12"/>
      <c r="Y172" s="12"/>
      <c r="Z172" s="12"/>
      <c r="AA172" s="12"/>
      <c r="AB172" s="12"/>
      <c r="AC172" s="12"/>
    </row>
    <row r="173">
      <c r="A173" s="12" t="s">
        <v>125</v>
      </c>
      <c r="B173" s="28"/>
      <c r="C173" s="28"/>
      <c r="D173" s="30"/>
      <c r="E173" s="30"/>
      <c r="F173" s="30"/>
      <c r="G173" s="30"/>
      <c r="H173" s="12" t="s">
        <v>579</v>
      </c>
      <c r="I173" s="12"/>
      <c r="J173" s="12"/>
      <c r="K173" s="12"/>
      <c r="L173" s="12" t="s">
        <v>580</v>
      </c>
      <c r="M173" s="12" t="s">
        <v>581</v>
      </c>
      <c r="N173" s="12" t="s">
        <v>555</v>
      </c>
      <c r="O173" s="12" t="s">
        <v>371</v>
      </c>
      <c r="P173" s="12" t="s">
        <v>582</v>
      </c>
      <c r="Q173" s="12" t="s">
        <v>583</v>
      </c>
      <c r="R173" s="12"/>
      <c r="S173" s="12"/>
      <c r="T173" s="12"/>
      <c r="U173" s="12"/>
      <c r="V173" s="12"/>
      <c r="W173" s="12"/>
      <c r="X173" s="12"/>
      <c r="Y173" s="12"/>
      <c r="Z173" s="12"/>
      <c r="AA173" s="12"/>
      <c r="AB173" s="12"/>
      <c r="AC173" s="12"/>
    </row>
    <row r="174">
      <c r="A174" s="12" t="s">
        <v>173</v>
      </c>
      <c r="B174" s="28"/>
      <c r="C174" s="28"/>
      <c r="D174" s="30"/>
      <c r="E174" s="30"/>
      <c r="F174" s="30"/>
      <c r="G174" s="30"/>
      <c r="H174" s="12"/>
      <c r="I174" s="12"/>
      <c r="J174" s="12"/>
      <c r="K174" s="12"/>
      <c r="L174" s="12"/>
      <c r="M174" s="12"/>
      <c r="N174" s="12"/>
      <c r="O174" s="12"/>
      <c r="P174" s="12"/>
      <c r="Q174" s="12"/>
      <c r="R174" s="12"/>
      <c r="S174" s="12"/>
      <c r="T174" s="12"/>
      <c r="U174" s="12"/>
      <c r="V174" s="12"/>
      <c r="W174" s="12"/>
      <c r="X174" s="12"/>
      <c r="Y174" s="12"/>
      <c r="Z174" s="12"/>
      <c r="AA174" s="12"/>
      <c r="AB174" s="12"/>
      <c r="AC174" s="12"/>
    </row>
    <row r="175">
      <c r="A175" s="12" t="s">
        <v>173</v>
      </c>
      <c r="B175" s="28"/>
      <c r="C175" s="28"/>
      <c r="D175" s="30"/>
      <c r="E175" s="30"/>
      <c r="F175" s="30"/>
      <c r="G175" s="30"/>
      <c r="H175" s="12"/>
      <c r="I175" s="12"/>
      <c r="J175" s="12"/>
      <c r="K175" s="12"/>
      <c r="L175" s="12"/>
      <c r="M175" s="12"/>
      <c r="N175" s="12"/>
      <c r="O175" s="12"/>
      <c r="P175" s="12"/>
      <c r="Q175" s="12"/>
      <c r="R175" s="12"/>
      <c r="S175" s="12"/>
      <c r="T175" s="12"/>
      <c r="U175" s="12"/>
      <c r="V175" s="12"/>
      <c r="W175" s="12"/>
      <c r="X175" s="12"/>
      <c r="Y175" s="12"/>
      <c r="Z175" s="12"/>
      <c r="AA175" s="12"/>
      <c r="AB175" s="12"/>
      <c r="AC175" s="12"/>
    </row>
    <row r="176">
      <c r="A176" s="12" t="s">
        <v>42</v>
      </c>
      <c r="B176" s="28"/>
      <c r="C176" s="28"/>
      <c r="D176" s="30"/>
      <c r="E176" s="30"/>
      <c r="F176" s="30"/>
      <c r="G176" s="30"/>
      <c r="H176" s="12" t="s">
        <v>546</v>
      </c>
      <c r="I176" s="12"/>
      <c r="J176" s="12"/>
      <c r="K176" s="12"/>
      <c r="L176" s="12" t="s">
        <v>547</v>
      </c>
      <c r="M176" s="12"/>
      <c r="N176" s="12"/>
      <c r="O176" s="12"/>
      <c r="P176" s="12"/>
      <c r="Q176" s="12"/>
      <c r="R176" s="12"/>
      <c r="S176" s="12"/>
      <c r="T176" s="12"/>
      <c r="U176" s="12"/>
      <c r="V176" s="12"/>
      <c r="W176" s="12"/>
      <c r="X176" s="12"/>
      <c r="Y176" s="12"/>
      <c r="Z176" s="12"/>
      <c r="AA176" s="12"/>
      <c r="AB176" s="12"/>
      <c r="AC176" s="12"/>
    </row>
    <row r="177">
      <c r="A177" s="12" t="s">
        <v>63</v>
      </c>
      <c r="B177" s="28"/>
      <c r="C177" s="28"/>
      <c r="D177" s="30"/>
      <c r="E177" s="30"/>
      <c r="F177" s="30"/>
      <c r="G177" s="30"/>
      <c r="H177" s="12" t="s">
        <v>546</v>
      </c>
      <c r="I177" s="12"/>
      <c r="J177" s="12"/>
      <c r="K177" s="12"/>
      <c r="L177" s="12" t="s">
        <v>547</v>
      </c>
      <c r="M177" s="12"/>
      <c r="N177" s="12"/>
      <c r="O177" s="12"/>
      <c r="P177" s="12"/>
      <c r="Q177" s="12"/>
      <c r="R177" s="12"/>
      <c r="S177" s="12"/>
      <c r="T177" s="12"/>
      <c r="U177" s="12"/>
      <c r="V177" s="12"/>
      <c r="W177" s="12"/>
      <c r="X177" s="12"/>
      <c r="Y177" s="12"/>
      <c r="Z177" s="12"/>
      <c r="AA177" s="12"/>
      <c r="AB177" s="12"/>
      <c r="AC177" s="12"/>
    </row>
    <row r="178">
      <c r="A178" s="12" t="s">
        <v>27</v>
      </c>
      <c r="B178" s="20"/>
      <c r="C178" s="28"/>
      <c r="D178" s="30"/>
      <c r="E178" s="30"/>
      <c r="F178" s="30"/>
      <c r="G178" s="30"/>
      <c r="H178" s="12" t="s">
        <v>584</v>
      </c>
      <c r="I178" s="12"/>
      <c r="J178" s="12"/>
      <c r="K178" s="12"/>
      <c r="L178" s="12" t="s">
        <v>585</v>
      </c>
      <c r="M178" s="12" t="s">
        <v>586</v>
      </c>
      <c r="N178" s="12" t="s">
        <v>587</v>
      </c>
      <c r="O178" s="12" t="s">
        <v>588</v>
      </c>
      <c r="P178" s="12" t="s">
        <v>589</v>
      </c>
      <c r="Q178" s="12" t="s">
        <v>590</v>
      </c>
      <c r="R178" s="12" t="s">
        <v>591</v>
      </c>
      <c r="S178" s="12"/>
      <c r="T178" s="12"/>
      <c r="U178" s="12"/>
      <c r="V178" s="12"/>
      <c r="W178" s="12"/>
      <c r="X178" s="12"/>
      <c r="Y178" s="12"/>
      <c r="Z178" s="12"/>
      <c r="AA178" s="12"/>
      <c r="AB178" s="12"/>
      <c r="AC178" s="12"/>
    </row>
    <row r="179">
      <c r="A179" s="12" t="s">
        <v>294</v>
      </c>
      <c r="B179" s="28"/>
      <c r="C179" s="28"/>
      <c r="D179" s="30"/>
      <c r="E179" s="30"/>
      <c r="F179" s="30"/>
      <c r="G179" s="30"/>
      <c r="H179" s="12"/>
      <c r="I179" s="12"/>
      <c r="J179" s="12"/>
      <c r="K179" s="12"/>
      <c r="L179" s="12"/>
      <c r="M179" s="12"/>
      <c r="N179" s="12"/>
      <c r="O179" s="12"/>
      <c r="P179" s="12"/>
      <c r="Q179" s="12"/>
      <c r="R179" s="12"/>
      <c r="S179" s="12"/>
      <c r="T179" s="12"/>
      <c r="U179" s="12"/>
      <c r="V179" s="12"/>
      <c r="W179" s="12"/>
      <c r="X179" s="12"/>
      <c r="Y179" s="12"/>
      <c r="Z179" s="12"/>
      <c r="AA179" s="12"/>
      <c r="AB179" s="12"/>
      <c r="AC179" s="12"/>
    </row>
    <row r="180">
      <c r="A180" s="12" t="s">
        <v>204</v>
      </c>
      <c r="B180" s="28"/>
      <c r="C180" s="28"/>
      <c r="D180" s="30"/>
      <c r="E180" s="30"/>
      <c r="F180" s="30"/>
      <c r="G180" s="30"/>
      <c r="H180" s="12" t="s">
        <v>592</v>
      </c>
      <c r="I180" s="12"/>
      <c r="J180" s="12"/>
      <c r="K180" s="12"/>
      <c r="L180" s="12" t="s">
        <v>593</v>
      </c>
      <c r="M180" s="12" t="s">
        <v>594</v>
      </c>
      <c r="N180" s="12" t="s">
        <v>595</v>
      </c>
      <c r="O180" s="12" t="s">
        <v>596</v>
      </c>
      <c r="P180" s="12" t="s">
        <v>597</v>
      </c>
      <c r="Q180" s="12" t="s">
        <v>598</v>
      </c>
      <c r="R180" s="12" t="s">
        <v>599</v>
      </c>
      <c r="S180" s="12"/>
      <c r="T180" s="12"/>
      <c r="U180" s="12"/>
      <c r="V180" s="12"/>
      <c r="W180" s="12"/>
      <c r="X180" s="12"/>
      <c r="Y180" s="12"/>
      <c r="Z180" s="12"/>
      <c r="AA180" s="12"/>
      <c r="AB180" s="12"/>
      <c r="AC180" s="12"/>
    </row>
    <row r="181">
      <c r="A181" s="12" t="s">
        <v>303</v>
      </c>
      <c r="B181" s="28"/>
      <c r="C181" s="28"/>
      <c r="D181" s="30"/>
      <c r="E181" s="30"/>
      <c r="F181" s="30"/>
      <c r="G181" s="30"/>
      <c r="H181" s="12" t="s">
        <v>600</v>
      </c>
      <c r="I181" s="12"/>
      <c r="J181" s="12"/>
      <c r="K181" s="12"/>
      <c r="L181" s="12" t="s">
        <v>601</v>
      </c>
      <c r="M181" s="12" t="s">
        <v>602</v>
      </c>
      <c r="N181" s="12" t="s">
        <v>603</v>
      </c>
      <c r="O181" s="12" t="s">
        <v>604</v>
      </c>
      <c r="P181" s="12" t="s">
        <v>605</v>
      </c>
      <c r="Q181" s="12"/>
      <c r="R181" s="12"/>
      <c r="S181" s="12"/>
      <c r="T181" s="12"/>
      <c r="U181" s="12"/>
      <c r="V181" s="12"/>
      <c r="W181" s="12"/>
      <c r="X181" s="12"/>
      <c r="Y181" s="12"/>
      <c r="Z181" s="12"/>
      <c r="AA181" s="12"/>
      <c r="AB181" s="12"/>
      <c r="AC181" s="12"/>
    </row>
    <row r="182">
      <c r="A182" s="12" t="s">
        <v>312</v>
      </c>
      <c r="B182" s="28"/>
      <c r="C182" s="28"/>
      <c r="D182" s="30"/>
      <c r="E182" s="30"/>
      <c r="F182" s="30"/>
      <c r="G182" s="30"/>
      <c r="H182" s="12" t="s">
        <v>550</v>
      </c>
      <c r="I182" s="12"/>
      <c r="J182" s="12"/>
      <c r="K182" s="12"/>
      <c r="L182" s="12" t="s">
        <v>551</v>
      </c>
      <c r="M182" s="12"/>
      <c r="N182" s="12"/>
      <c r="O182" s="12"/>
      <c r="P182" s="12"/>
      <c r="Q182" s="12"/>
      <c r="R182" s="12"/>
      <c r="S182" s="12"/>
      <c r="T182" s="12"/>
      <c r="U182" s="12"/>
      <c r="V182" s="12"/>
      <c r="W182" s="12"/>
      <c r="X182" s="12"/>
      <c r="Y182" s="12"/>
      <c r="Z182" s="12"/>
      <c r="AA182" s="12"/>
      <c r="AB182" s="12"/>
      <c r="AC182" s="12"/>
    </row>
    <row r="183">
      <c r="A183" s="12" t="s">
        <v>542</v>
      </c>
      <c r="B183" s="20"/>
      <c r="C183" s="20"/>
      <c r="D183" s="19"/>
      <c r="E183" s="19"/>
      <c r="F183" s="19"/>
      <c r="G183" s="19"/>
      <c r="H183" s="12" t="s">
        <v>606</v>
      </c>
      <c r="I183" s="12"/>
      <c r="J183" s="12"/>
      <c r="K183" s="12"/>
      <c r="L183" s="12" t="s">
        <v>607</v>
      </c>
      <c r="M183" s="12" t="s">
        <v>608</v>
      </c>
      <c r="N183" s="12" t="s">
        <v>609</v>
      </c>
      <c r="O183" s="12" t="s">
        <v>610</v>
      </c>
      <c r="P183" s="12" t="s">
        <v>611</v>
      </c>
      <c r="Q183" s="12" t="s">
        <v>612</v>
      </c>
      <c r="R183" s="12" t="s">
        <v>613</v>
      </c>
      <c r="S183" s="12" t="s">
        <v>614</v>
      </c>
      <c r="T183" s="12"/>
      <c r="U183" s="12"/>
      <c r="V183" s="12"/>
      <c r="W183" s="12"/>
      <c r="X183" s="12"/>
      <c r="Y183" s="12"/>
      <c r="Z183" s="12"/>
      <c r="AA183" s="12"/>
      <c r="AB183" s="12"/>
      <c r="AC183" s="12"/>
    </row>
    <row r="184">
      <c r="A184" s="12" t="s">
        <v>542</v>
      </c>
      <c r="B184" s="20"/>
      <c r="C184" s="20"/>
      <c r="D184" s="19"/>
      <c r="E184" s="19"/>
      <c r="F184" s="19"/>
      <c r="G184" s="19"/>
      <c r="H184" s="12" t="s">
        <v>615</v>
      </c>
      <c r="I184" s="12"/>
      <c r="J184" s="12"/>
      <c r="K184" s="12"/>
      <c r="L184" s="12" t="s">
        <v>616</v>
      </c>
      <c r="M184" s="12" t="s">
        <v>617</v>
      </c>
      <c r="N184" s="12" t="s">
        <v>618</v>
      </c>
      <c r="O184" s="12" t="s">
        <v>619</v>
      </c>
      <c r="P184" s="12"/>
      <c r="Q184" s="12"/>
      <c r="R184" s="12"/>
      <c r="S184" s="12"/>
      <c r="T184" s="12"/>
      <c r="U184" s="12"/>
      <c r="V184" s="12"/>
      <c r="W184" s="12"/>
      <c r="X184" s="12"/>
      <c r="Y184" s="12"/>
      <c r="Z184" s="12"/>
      <c r="AA184" s="12"/>
      <c r="AB184" s="12"/>
      <c r="AC184" s="12"/>
    </row>
    <row r="185">
      <c r="A185" s="12" t="s">
        <v>542</v>
      </c>
      <c r="B185" s="20"/>
      <c r="C185" s="20"/>
      <c r="D185" s="19"/>
      <c r="E185" s="19"/>
      <c r="F185" s="19"/>
      <c r="G185" s="19"/>
      <c r="H185" s="12" t="s">
        <v>546</v>
      </c>
      <c r="I185" s="12"/>
      <c r="J185" s="12"/>
      <c r="K185" s="12"/>
      <c r="L185" s="12" t="s">
        <v>547</v>
      </c>
      <c r="M185" s="12"/>
      <c r="N185" s="12"/>
      <c r="O185" s="12"/>
      <c r="P185" s="12"/>
      <c r="Q185" s="12"/>
      <c r="R185" s="12"/>
      <c r="S185" s="12"/>
      <c r="T185" s="12"/>
      <c r="U185" s="12"/>
      <c r="V185" s="12"/>
      <c r="W185" s="12"/>
      <c r="X185" s="12"/>
      <c r="Y185" s="12"/>
      <c r="Z185" s="12"/>
      <c r="AA185" s="12"/>
      <c r="AB185" s="12"/>
      <c r="AC185" s="12"/>
    </row>
    <row r="186">
      <c r="A186" s="12" t="s">
        <v>27</v>
      </c>
      <c r="B186" s="20"/>
      <c r="C186" s="20"/>
      <c r="D186" s="19"/>
      <c r="E186" s="19"/>
      <c r="F186" s="19"/>
      <c r="G186" s="19"/>
      <c r="H186" s="12" t="s">
        <v>620</v>
      </c>
      <c r="I186" s="12"/>
      <c r="J186" s="12"/>
      <c r="K186" s="12"/>
      <c r="L186" s="12" t="s">
        <v>621</v>
      </c>
      <c r="M186" s="12" t="s">
        <v>622</v>
      </c>
      <c r="N186" s="12"/>
      <c r="O186" s="12"/>
      <c r="P186" s="12"/>
      <c r="Q186" s="12"/>
      <c r="R186" s="12"/>
      <c r="S186" s="12"/>
      <c r="T186" s="12"/>
      <c r="U186" s="12"/>
      <c r="V186" s="12"/>
      <c r="W186" s="12"/>
      <c r="X186" s="12"/>
      <c r="Y186" s="12"/>
      <c r="Z186" s="12"/>
      <c r="AA186" s="12"/>
      <c r="AB186" s="12"/>
      <c r="AC186" s="12"/>
    </row>
    <row r="187">
      <c r="A187" s="12" t="s">
        <v>27</v>
      </c>
      <c r="B187" s="20"/>
      <c r="C187" s="20"/>
      <c r="D187" s="19"/>
      <c r="E187" s="19"/>
      <c r="F187" s="19"/>
      <c r="G187" s="19"/>
      <c r="H187" s="12"/>
      <c r="I187" s="12"/>
      <c r="J187" s="12"/>
      <c r="K187" s="12"/>
      <c r="L187" s="12"/>
      <c r="M187" s="12"/>
      <c r="N187" s="12"/>
      <c r="O187" s="12"/>
      <c r="P187" s="12"/>
      <c r="Q187" s="12"/>
      <c r="R187" s="12"/>
      <c r="S187" s="12"/>
      <c r="T187" s="12"/>
      <c r="U187" s="12"/>
      <c r="V187" s="12"/>
      <c r="W187" s="12"/>
      <c r="X187" s="12"/>
      <c r="Y187" s="12"/>
      <c r="Z187" s="12"/>
      <c r="AA187" s="12"/>
      <c r="AB187" s="12"/>
      <c r="AC187" s="12"/>
    </row>
    <row r="188">
      <c r="A188" s="12" t="s">
        <v>173</v>
      </c>
      <c r="B188" s="20"/>
      <c r="C188" s="20"/>
      <c r="D188" s="19"/>
      <c r="E188" s="19"/>
      <c r="F188" s="19"/>
      <c r="G188" s="19"/>
      <c r="H188" s="12"/>
      <c r="I188" s="12"/>
      <c r="J188" s="12"/>
      <c r="K188" s="12"/>
      <c r="L188" s="12"/>
      <c r="M188" s="12"/>
      <c r="N188" s="12"/>
      <c r="O188" s="12"/>
      <c r="P188" s="12"/>
      <c r="Q188" s="12"/>
      <c r="R188" s="12"/>
      <c r="S188" s="12"/>
      <c r="T188" s="12"/>
      <c r="U188" s="12"/>
      <c r="V188" s="12"/>
      <c r="W188" s="12"/>
      <c r="X188" s="12"/>
      <c r="Y188" s="12"/>
      <c r="Z188" s="12"/>
      <c r="AA188" s="12"/>
      <c r="AB188" s="12"/>
      <c r="AC188" s="12"/>
    </row>
    <row r="189">
      <c r="A189" s="12" t="s">
        <v>542</v>
      </c>
      <c r="B189" s="20"/>
      <c r="C189" s="20"/>
      <c r="D189" s="19"/>
      <c r="E189" s="19"/>
      <c r="F189" s="19"/>
      <c r="G189" s="19"/>
      <c r="H189" s="12" t="s">
        <v>543</v>
      </c>
      <c r="I189" s="12"/>
      <c r="J189" s="12"/>
      <c r="K189" s="12"/>
      <c r="L189" s="12" t="s">
        <v>544</v>
      </c>
      <c r="M189" s="12"/>
      <c r="N189" s="12"/>
      <c r="O189" s="12"/>
      <c r="P189" s="12"/>
      <c r="Q189" s="12"/>
      <c r="R189" s="12"/>
      <c r="S189" s="12"/>
      <c r="T189" s="12"/>
      <c r="U189" s="12"/>
      <c r="V189" s="12"/>
      <c r="W189" s="12"/>
      <c r="X189" s="12"/>
      <c r="Y189" s="12"/>
      <c r="Z189" s="12"/>
      <c r="AA189" s="12"/>
      <c r="AB189" s="12"/>
      <c r="AC189" s="12"/>
    </row>
    <row r="190">
      <c r="A190" s="12" t="s">
        <v>42</v>
      </c>
      <c r="B190" s="20"/>
      <c r="C190" s="20"/>
      <c r="D190" s="19"/>
      <c r="E190" s="19"/>
      <c r="F190" s="19"/>
      <c r="G190" s="19"/>
      <c r="H190" s="12" t="s">
        <v>623</v>
      </c>
      <c r="I190" s="12"/>
      <c r="J190" s="12"/>
      <c r="K190" s="12"/>
      <c r="L190" s="12" t="s">
        <v>624</v>
      </c>
      <c r="M190" s="12"/>
      <c r="N190" s="12"/>
      <c r="O190" s="12"/>
      <c r="P190" s="12"/>
      <c r="Q190" s="12"/>
      <c r="R190" s="12"/>
      <c r="S190" s="12"/>
      <c r="T190" s="12"/>
      <c r="U190" s="12"/>
      <c r="V190" s="12"/>
      <c r="W190" s="12"/>
      <c r="X190" s="12"/>
      <c r="Y190" s="12"/>
      <c r="Z190" s="12"/>
      <c r="AA190" s="12"/>
      <c r="AB190" s="12"/>
      <c r="AC190" s="12"/>
    </row>
    <row r="191">
      <c r="A191" s="12" t="s">
        <v>27</v>
      </c>
      <c r="B191" s="20"/>
      <c r="C191" s="20"/>
      <c r="D191" s="19"/>
      <c r="E191" s="19"/>
      <c r="F191" s="19"/>
      <c r="G191" s="19"/>
      <c r="H191" s="12" t="s">
        <v>622</v>
      </c>
      <c r="I191" s="12"/>
      <c r="J191" s="12"/>
      <c r="K191" s="12"/>
      <c r="L191" s="12" t="s">
        <v>625</v>
      </c>
      <c r="M191" s="12" t="s">
        <v>626</v>
      </c>
      <c r="N191" s="12" t="s">
        <v>627</v>
      </c>
      <c r="O191" s="12" t="s">
        <v>628</v>
      </c>
      <c r="P191" s="12" t="s">
        <v>629</v>
      </c>
      <c r="Q191" s="12" t="s">
        <v>630</v>
      </c>
      <c r="R191" s="12" t="s">
        <v>631</v>
      </c>
      <c r="S191" s="12" t="s">
        <v>632</v>
      </c>
      <c r="T191" s="12" t="s">
        <v>633</v>
      </c>
      <c r="U191" s="12" t="s">
        <v>634</v>
      </c>
      <c r="V191" s="12" t="s">
        <v>635</v>
      </c>
      <c r="W191" s="12" t="s">
        <v>636</v>
      </c>
      <c r="X191" s="12" t="s">
        <v>637</v>
      </c>
      <c r="Y191" s="12" t="s">
        <v>638</v>
      </c>
      <c r="Z191" s="12"/>
      <c r="AA191" s="12"/>
      <c r="AB191" s="12"/>
      <c r="AC191" s="12"/>
    </row>
    <row r="192">
      <c r="A192" s="12" t="s">
        <v>27</v>
      </c>
      <c r="B192" s="20"/>
      <c r="C192" s="20"/>
      <c r="D192" s="19"/>
      <c r="E192" s="19"/>
      <c r="F192" s="19"/>
      <c r="G192" s="19"/>
      <c r="H192" s="12" t="s">
        <v>566</v>
      </c>
      <c r="I192" s="12"/>
      <c r="J192" s="12"/>
      <c r="K192" s="12"/>
      <c r="L192" s="12" t="s">
        <v>556</v>
      </c>
      <c r="M192" s="12" t="s">
        <v>639</v>
      </c>
      <c r="N192" s="12" t="s">
        <v>640</v>
      </c>
      <c r="O192" s="12" t="s">
        <v>565</v>
      </c>
      <c r="P192" s="12" t="s">
        <v>641</v>
      </c>
      <c r="Q192" s="12" t="s">
        <v>555</v>
      </c>
      <c r="R192" s="12" t="s">
        <v>642</v>
      </c>
      <c r="S192" s="12" t="s">
        <v>371</v>
      </c>
      <c r="T192" s="12" t="s">
        <v>553</v>
      </c>
      <c r="U192" s="12" t="s">
        <v>643</v>
      </c>
      <c r="V192" s="12" t="s">
        <v>554</v>
      </c>
      <c r="W192" s="12"/>
      <c r="X192" s="12"/>
      <c r="Y192" s="12"/>
      <c r="Z192" s="12"/>
      <c r="AA192" s="12"/>
      <c r="AB192" s="12"/>
      <c r="AC192" s="12"/>
    </row>
    <row r="193">
      <c r="A193" s="12" t="s">
        <v>542</v>
      </c>
      <c r="B193" s="20"/>
      <c r="C193" s="20"/>
      <c r="D193" s="19"/>
      <c r="E193" s="19"/>
      <c r="F193" s="19"/>
      <c r="G193" s="19"/>
      <c r="H193" s="12" t="s">
        <v>566</v>
      </c>
      <c r="I193" s="12"/>
      <c r="J193" s="12"/>
      <c r="K193" s="12"/>
      <c r="L193" s="12" t="s">
        <v>556</v>
      </c>
      <c r="M193" s="12" t="s">
        <v>639</v>
      </c>
      <c r="N193" s="12" t="s">
        <v>640</v>
      </c>
      <c r="O193" s="12" t="s">
        <v>565</v>
      </c>
      <c r="P193" s="12" t="s">
        <v>641</v>
      </c>
      <c r="Q193" s="12" t="s">
        <v>555</v>
      </c>
      <c r="R193" s="12" t="s">
        <v>642</v>
      </c>
      <c r="S193" s="12" t="s">
        <v>371</v>
      </c>
      <c r="T193" s="12" t="s">
        <v>553</v>
      </c>
      <c r="U193" s="12" t="s">
        <v>643</v>
      </c>
      <c r="V193" s="12" t="s">
        <v>554</v>
      </c>
      <c r="W193" s="12"/>
      <c r="X193" s="12"/>
      <c r="Y193" s="12"/>
      <c r="Z193" s="12"/>
      <c r="AA193" s="12"/>
      <c r="AB193" s="12"/>
      <c r="AC193" s="12"/>
    </row>
    <row r="194">
      <c r="A194" s="12" t="s">
        <v>542</v>
      </c>
      <c r="B194" s="20"/>
      <c r="C194" s="20"/>
      <c r="D194" s="19"/>
      <c r="E194" s="19"/>
      <c r="F194" s="19"/>
      <c r="G194" s="19"/>
      <c r="H194" s="12" t="s">
        <v>371</v>
      </c>
      <c r="I194" s="12"/>
      <c r="J194" s="12"/>
      <c r="K194" s="12"/>
      <c r="L194" s="12" t="s">
        <v>644</v>
      </c>
      <c r="M194" s="12"/>
      <c r="N194" s="12"/>
      <c r="O194" s="12"/>
      <c r="P194" s="12"/>
      <c r="Q194" s="12"/>
      <c r="R194" s="12"/>
      <c r="S194" s="12"/>
      <c r="T194" s="12"/>
      <c r="U194" s="12"/>
      <c r="V194" s="12"/>
      <c r="W194" s="12"/>
      <c r="X194" s="12"/>
      <c r="Y194" s="12"/>
      <c r="Z194" s="12"/>
      <c r="AA194" s="12"/>
      <c r="AB194" s="12"/>
      <c r="AC194" s="12"/>
    </row>
    <row r="195">
      <c r="A195" s="12" t="s">
        <v>42</v>
      </c>
      <c r="B195" s="20"/>
      <c r="C195" s="20"/>
      <c r="D195" s="19"/>
      <c r="E195" s="19"/>
      <c r="F195" s="19"/>
      <c r="G195" s="19"/>
      <c r="H195" s="12"/>
      <c r="I195" s="12"/>
      <c r="J195" s="12"/>
      <c r="K195" s="12"/>
      <c r="L195" s="12"/>
      <c r="M195" s="12"/>
      <c r="N195" s="12"/>
      <c r="O195" s="12"/>
      <c r="P195" s="12"/>
      <c r="Q195" s="12"/>
      <c r="R195" s="12"/>
      <c r="S195" s="12"/>
      <c r="T195" s="12"/>
      <c r="U195" s="12"/>
      <c r="V195" s="12"/>
      <c r="W195" s="12"/>
      <c r="X195" s="12"/>
      <c r="Y195" s="12"/>
      <c r="Z195" s="12"/>
      <c r="AA195" s="12"/>
      <c r="AB195" s="12"/>
      <c r="AC195" s="12"/>
    </row>
    <row r="196">
      <c r="A196" s="12" t="s">
        <v>27</v>
      </c>
      <c r="B196" s="20"/>
      <c r="C196" s="20"/>
      <c r="D196" s="19"/>
      <c r="E196" s="19"/>
      <c r="F196" s="19"/>
      <c r="G196" s="19"/>
      <c r="H196" s="12" t="s">
        <v>543</v>
      </c>
      <c r="I196" s="12"/>
      <c r="J196" s="12"/>
      <c r="K196" s="12"/>
      <c r="L196" s="12" t="s">
        <v>544</v>
      </c>
      <c r="M196" s="12"/>
      <c r="N196" s="12"/>
      <c r="O196" s="12"/>
      <c r="P196" s="12"/>
      <c r="Q196" s="12"/>
      <c r="R196" s="12"/>
      <c r="S196" s="12"/>
      <c r="T196" s="12"/>
      <c r="U196" s="12"/>
      <c r="V196" s="12"/>
      <c r="W196" s="12"/>
      <c r="X196" s="12"/>
      <c r="Y196" s="12"/>
      <c r="Z196" s="12"/>
      <c r="AA196" s="12"/>
      <c r="AB196" s="12"/>
      <c r="AC196" s="12"/>
    </row>
    <row r="197">
      <c r="A197" s="12" t="s">
        <v>27</v>
      </c>
      <c r="B197" s="20"/>
      <c r="C197" s="20"/>
      <c r="D197" s="19"/>
      <c r="E197" s="19"/>
      <c r="F197" s="19"/>
      <c r="G197" s="19"/>
      <c r="H197" s="12"/>
      <c r="I197" s="12"/>
      <c r="J197" s="12"/>
      <c r="K197" s="12"/>
      <c r="L197" s="12"/>
      <c r="M197" s="12"/>
      <c r="N197" s="12"/>
      <c r="O197" s="12"/>
      <c r="P197" s="12"/>
      <c r="Q197" s="12"/>
      <c r="R197" s="12"/>
      <c r="S197" s="12"/>
      <c r="T197" s="12"/>
      <c r="U197" s="12"/>
      <c r="V197" s="12"/>
      <c r="W197" s="12"/>
      <c r="X197" s="12"/>
      <c r="Y197" s="12"/>
      <c r="Z197" s="12"/>
      <c r="AA197" s="12"/>
      <c r="AB197" s="12"/>
      <c r="AC197" s="12"/>
    </row>
    <row r="198">
      <c r="A198" s="12" t="s">
        <v>27</v>
      </c>
      <c r="B198" s="20"/>
      <c r="C198" s="20"/>
      <c r="D198" s="19"/>
      <c r="E198" s="19"/>
      <c r="F198" s="19"/>
      <c r="G198" s="19"/>
      <c r="H198" s="12" t="s">
        <v>645</v>
      </c>
      <c r="I198" s="12"/>
      <c r="J198" s="12"/>
      <c r="K198" s="12"/>
      <c r="L198" s="12" t="s">
        <v>646</v>
      </c>
      <c r="M198" s="12" t="s">
        <v>647</v>
      </c>
      <c r="N198" s="12" t="s">
        <v>648</v>
      </c>
      <c r="O198" s="12"/>
      <c r="P198" s="12"/>
      <c r="Q198" s="12"/>
      <c r="R198" s="12"/>
      <c r="S198" s="12"/>
      <c r="T198" s="12"/>
      <c r="U198" s="12"/>
      <c r="V198" s="12"/>
      <c r="W198" s="12"/>
      <c r="X198" s="12"/>
      <c r="Y198" s="12"/>
      <c r="Z198" s="12"/>
      <c r="AA198" s="12"/>
      <c r="AB198" s="12"/>
      <c r="AC198" s="12"/>
    </row>
    <row r="199">
      <c r="A199" s="12" t="s">
        <v>107</v>
      </c>
      <c r="B199" s="20"/>
      <c r="C199" s="20"/>
      <c r="D199" s="19"/>
      <c r="E199" s="19"/>
      <c r="F199" s="19"/>
      <c r="G199" s="19"/>
      <c r="H199" s="12" t="s">
        <v>649</v>
      </c>
      <c r="I199" s="12"/>
      <c r="J199" s="12"/>
      <c r="K199" s="12"/>
      <c r="L199" s="12" t="s">
        <v>650</v>
      </c>
      <c r="M199" s="12"/>
      <c r="N199" s="12"/>
      <c r="O199" s="12"/>
      <c r="P199" s="12"/>
      <c r="Q199" s="12"/>
      <c r="R199" s="12"/>
      <c r="S199" s="12"/>
      <c r="T199" s="12"/>
      <c r="U199" s="12"/>
      <c r="V199" s="12"/>
      <c r="W199" s="12"/>
      <c r="X199" s="12"/>
      <c r="Y199" s="12"/>
      <c r="Z199" s="12"/>
      <c r="AA199" s="12"/>
      <c r="AB199" s="12"/>
      <c r="AC199" s="12"/>
    </row>
    <row r="200">
      <c r="A200" s="12" t="s">
        <v>542</v>
      </c>
      <c r="B200" s="20"/>
      <c r="C200" s="20"/>
      <c r="D200" s="19"/>
      <c r="E200" s="19"/>
      <c r="F200" s="19"/>
      <c r="G200" s="19"/>
      <c r="H200" s="12" t="s">
        <v>371</v>
      </c>
      <c r="I200" s="12"/>
      <c r="J200" s="12"/>
      <c r="K200" s="12"/>
      <c r="L200" s="12"/>
      <c r="M200" s="12"/>
      <c r="N200" s="12"/>
      <c r="O200" s="12"/>
      <c r="P200" s="12"/>
      <c r="Q200" s="12"/>
      <c r="R200" s="12"/>
      <c r="S200" s="12"/>
      <c r="T200" s="12"/>
      <c r="U200" s="12"/>
      <c r="V200" s="12"/>
      <c r="W200" s="12"/>
      <c r="X200" s="12"/>
      <c r="Y200" s="12"/>
      <c r="Z200" s="12"/>
      <c r="AA200" s="12"/>
      <c r="AB200" s="12"/>
      <c r="AC200" s="12"/>
    </row>
    <row r="201">
      <c r="A201" s="12" t="s">
        <v>173</v>
      </c>
      <c r="B201" s="20"/>
      <c r="C201" s="28"/>
      <c r="D201" s="30"/>
      <c r="E201" s="30"/>
      <c r="F201" s="30"/>
      <c r="G201" s="30"/>
      <c r="H201" s="12" t="s">
        <v>543</v>
      </c>
      <c r="I201" s="12"/>
      <c r="J201" s="12"/>
      <c r="K201" s="12"/>
      <c r="L201" s="12" t="s">
        <v>544</v>
      </c>
      <c r="M201" s="12"/>
      <c r="N201" s="12"/>
      <c r="O201" s="12"/>
      <c r="P201" s="12"/>
      <c r="Q201" s="12"/>
      <c r="R201" s="12"/>
      <c r="S201" s="12"/>
      <c r="T201" s="12"/>
      <c r="U201" s="12"/>
      <c r="V201" s="12"/>
      <c r="W201" s="12"/>
      <c r="X201" s="12"/>
      <c r="Y201" s="12"/>
      <c r="Z201" s="12"/>
      <c r="AA201" s="12"/>
      <c r="AB201" s="12"/>
      <c r="AC201" s="12"/>
    </row>
    <row r="202">
      <c r="A202" s="12" t="s">
        <v>173</v>
      </c>
      <c r="B202" s="20"/>
      <c r="C202" s="28"/>
      <c r="D202" s="30"/>
      <c r="E202" s="30"/>
      <c r="F202" s="30"/>
      <c r="G202" s="30"/>
      <c r="H202" s="12" t="s">
        <v>381</v>
      </c>
      <c r="I202" s="12"/>
      <c r="J202" s="12"/>
      <c r="K202" s="12"/>
      <c r="L202" s="12"/>
      <c r="M202" s="12"/>
      <c r="N202" s="12"/>
      <c r="O202" s="12"/>
      <c r="P202" s="12"/>
      <c r="Q202" s="12"/>
      <c r="R202" s="12"/>
      <c r="S202" s="12"/>
      <c r="T202" s="12"/>
      <c r="U202" s="12"/>
      <c r="V202" s="12"/>
      <c r="W202" s="12"/>
      <c r="X202" s="12"/>
      <c r="Y202" s="12"/>
      <c r="Z202" s="12"/>
      <c r="AA202" s="12"/>
      <c r="AB202" s="12"/>
      <c r="AC202" s="12"/>
    </row>
    <row r="203">
      <c r="A203" s="12" t="s">
        <v>548</v>
      </c>
      <c r="B203" s="20"/>
      <c r="C203" s="20"/>
      <c r="D203" s="19"/>
      <c r="E203" s="19"/>
      <c r="F203" s="19"/>
      <c r="G203" s="19"/>
      <c r="H203" s="12" t="s">
        <v>651</v>
      </c>
      <c r="I203" s="12"/>
      <c r="J203" s="12"/>
      <c r="K203" s="12"/>
      <c r="L203" s="12" t="s">
        <v>652</v>
      </c>
      <c r="M203" s="12" t="s">
        <v>653</v>
      </c>
      <c r="N203" s="12" t="s">
        <v>654</v>
      </c>
      <c r="O203" s="12" t="s">
        <v>655</v>
      </c>
      <c r="P203" s="12" t="s">
        <v>656</v>
      </c>
      <c r="Q203" s="12"/>
      <c r="R203" s="12"/>
      <c r="S203" s="12"/>
      <c r="T203" s="12"/>
      <c r="U203" s="12"/>
      <c r="V203" s="12"/>
      <c r="W203" s="12"/>
      <c r="X203" s="12"/>
      <c r="Y203" s="12"/>
      <c r="Z203" s="12"/>
      <c r="AA203" s="12"/>
      <c r="AB203" s="12"/>
      <c r="AC203" s="12"/>
    </row>
    <row r="204">
      <c r="A204" s="12" t="s">
        <v>27</v>
      </c>
      <c r="B204" s="20"/>
      <c r="C204" s="20"/>
      <c r="D204" s="19"/>
      <c r="E204" s="19"/>
      <c r="F204" s="19"/>
      <c r="G204" s="19"/>
      <c r="H204" s="12" t="s">
        <v>543</v>
      </c>
      <c r="I204" s="12"/>
      <c r="J204" s="12"/>
      <c r="K204" s="12"/>
      <c r="L204" s="12" t="s">
        <v>544</v>
      </c>
      <c r="M204" s="12"/>
      <c r="N204" s="12"/>
      <c r="O204" s="12"/>
      <c r="P204" s="12"/>
      <c r="Q204" s="12"/>
      <c r="R204" s="12"/>
      <c r="S204" s="12"/>
      <c r="T204" s="12"/>
      <c r="U204" s="12"/>
      <c r="V204" s="12"/>
      <c r="W204" s="12"/>
      <c r="X204" s="12"/>
      <c r="Y204" s="12"/>
      <c r="Z204" s="12"/>
      <c r="AA204" s="12"/>
      <c r="AB204" s="12"/>
      <c r="AC204" s="12"/>
    </row>
    <row r="205">
      <c r="A205" s="12" t="s">
        <v>522</v>
      </c>
      <c r="B205" s="20"/>
      <c r="C205" s="20"/>
      <c r="D205" s="19"/>
      <c r="E205" s="19"/>
      <c r="F205" s="19"/>
      <c r="G205" s="19"/>
      <c r="H205" s="12" t="s">
        <v>657</v>
      </c>
      <c r="I205" s="12"/>
      <c r="J205" s="12"/>
      <c r="K205" s="12"/>
      <c r="L205" s="12" t="s">
        <v>658</v>
      </c>
      <c r="M205" s="12"/>
      <c r="N205" s="12"/>
      <c r="O205" s="12"/>
      <c r="P205" s="12"/>
      <c r="Q205" s="12"/>
      <c r="R205" s="12"/>
      <c r="S205" s="12"/>
      <c r="T205" s="12"/>
      <c r="U205" s="12"/>
      <c r="V205" s="12"/>
      <c r="W205" s="12"/>
      <c r="X205" s="12"/>
      <c r="Y205" s="12"/>
      <c r="Z205" s="12"/>
      <c r="AA205" s="12"/>
      <c r="AB205" s="12"/>
      <c r="AC205" s="12"/>
    </row>
    <row r="206">
      <c r="A206" s="12" t="s">
        <v>204</v>
      </c>
      <c r="B206" s="20"/>
      <c r="C206" s="20"/>
      <c r="D206" s="19"/>
      <c r="E206" s="19"/>
      <c r="F206" s="19"/>
      <c r="G206" s="19"/>
      <c r="H206" s="12" t="s">
        <v>546</v>
      </c>
      <c r="I206" s="12"/>
      <c r="J206" s="12"/>
      <c r="K206" s="12"/>
      <c r="L206" s="12" t="s">
        <v>547</v>
      </c>
      <c r="M206" s="12"/>
      <c r="N206" s="12"/>
      <c r="O206" s="12"/>
      <c r="P206" s="12"/>
      <c r="Q206" s="12"/>
      <c r="R206" s="12"/>
      <c r="S206" s="12"/>
      <c r="T206" s="12"/>
      <c r="U206" s="12"/>
      <c r="V206" s="12"/>
      <c r="W206" s="12"/>
      <c r="X206" s="12"/>
      <c r="Y206" s="12"/>
      <c r="Z206" s="12"/>
      <c r="AA206" s="12"/>
      <c r="AB206" s="12"/>
      <c r="AC206" s="12"/>
    </row>
    <row r="207">
      <c r="A207" s="12" t="s">
        <v>204</v>
      </c>
      <c r="B207" s="20"/>
      <c r="C207" s="20"/>
      <c r="D207" s="19"/>
      <c r="E207" s="19"/>
      <c r="F207" s="19"/>
      <c r="G207" s="19"/>
      <c r="H207" s="12"/>
      <c r="I207" s="12"/>
      <c r="J207" s="12"/>
      <c r="K207" s="12"/>
      <c r="L207" s="12"/>
      <c r="M207" s="12"/>
      <c r="N207" s="12"/>
      <c r="O207" s="12"/>
      <c r="P207" s="12"/>
      <c r="Q207" s="12"/>
      <c r="R207" s="12"/>
      <c r="S207" s="12"/>
      <c r="T207" s="12"/>
      <c r="U207" s="12"/>
      <c r="V207" s="12"/>
      <c r="W207" s="12"/>
      <c r="X207" s="12"/>
      <c r="Y207" s="12"/>
      <c r="Z207" s="12"/>
      <c r="AA207" s="12"/>
      <c r="AB207" s="12"/>
      <c r="AC207" s="12"/>
    </row>
    <row r="208">
      <c r="A208" s="12" t="s">
        <v>107</v>
      </c>
      <c r="B208" s="20"/>
      <c r="C208" s="20"/>
      <c r="D208" s="19"/>
      <c r="E208" s="19"/>
      <c r="F208" s="19"/>
      <c r="G208" s="19"/>
      <c r="H208" s="12" t="s">
        <v>543</v>
      </c>
      <c r="I208" s="12"/>
      <c r="J208" s="12"/>
      <c r="K208" s="12"/>
      <c r="L208" s="12" t="s">
        <v>544</v>
      </c>
      <c r="M208" s="12"/>
      <c r="N208" s="12"/>
      <c r="O208" s="12"/>
      <c r="P208" s="12"/>
      <c r="Q208" s="12"/>
      <c r="R208" s="12"/>
      <c r="S208" s="12"/>
      <c r="T208" s="12"/>
      <c r="U208" s="12"/>
      <c r="V208" s="12"/>
      <c r="W208" s="12"/>
      <c r="X208" s="12"/>
      <c r="Y208" s="12"/>
      <c r="Z208" s="12"/>
      <c r="AA208" s="12"/>
      <c r="AB208" s="12"/>
      <c r="AC208" s="12"/>
    </row>
    <row r="209">
      <c r="A209" s="12" t="s">
        <v>504</v>
      </c>
      <c r="B209" s="20"/>
      <c r="C209" s="20"/>
      <c r="D209" s="19"/>
      <c r="E209" s="19"/>
      <c r="F209" s="19"/>
      <c r="G209" s="19"/>
      <c r="H209" s="12" t="s">
        <v>566</v>
      </c>
      <c r="I209" s="12"/>
      <c r="J209" s="12"/>
      <c r="K209" s="12"/>
      <c r="L209" s="12" t="s">
        <v>371</v>
      </c>
      <c r="M209" s="12" t="s">
        <v>553</v>
      </c>
      <c r="N209" s="12" t="s">
        <v>659</v>
      </c>
      <c r="O209" s="12" t="s">
        <v>555</v>
      </c>
      <c r="P209" s="12" t="s">
        <v>643</v>
      </c>
      <c r="Q209" s="12" t="s">
        <v>565</v>
      </c>
      <c r="R209" s="12" t="s">
        <v>642</v>
      </c>
      <c r="S209" s="12" t="s">
        <v>660</v>
      </c>
      <c r="T209" s="12" t="s">
        <v>639</v>
      </c>
      <c r="U209" s="12" t="s">
        <v>554</v>
      </c>
      <c r="V209" s="12"/>
      <c r="W209" s="12"/>
      <c r="X209" s="12"/>
      <c r="Y209" s="12"/>
      <c r="Z209" s="12"/>
      <c r="AA209" s="12"/>
      <c r="AB209" s="12"/>
      <c r="AC209" s="12"/>
    </row>
    <row r="210">
      <c r="A210" s="12" t="s">
        <v>522</v>
      </c>
      <c r="B210" s="20"/>
      <c r="C210" s="20"/>
      <c r="D210" s="19"/>
      <c r="E210" s="19"/>
      <c r="F210" s="19"/>
      <c r="G210" s="19"/>
      <c r="H210" s="12" t="s">
        <v>661</v>
      </c>
      <c r="I210" s="12"/>
      <c r="J210" s="12"/>
      <c r="K210" s="12"/>
      <c r="L210" s="12" t="s">
        <v>662</v>
      </c>
      <c r="M210" s="12" t="s">
        <v>663</v>
      </c>
      <c r="N210" s="12" t="s">
        <v>664</v>
      </c>
      <c r="O210" s="12" t="s">
        <v>665</v>
      </c>
      <c r="P210" s="12" t="s">
        <v>666</v>
      </c>
      <c r="Q210" s="12" t="s">
        <v>667</v>
      </c>
      <c r="R210" s="12" t="s">
        <v>668</v>
      </c>
      <c r="S210" s="12"/>
      <c r="T210" s="12"/>
      <c r="U210" s="12"/>
      <c r="V210" s="12"/>
      <c r="W210" s="12"/>
      <c r="X210" s="12"/>
      <c r="Y210" s="12"/>
      <c r="Z210" s="12"/>
      <c r="AA210" s="12"/>
      <c r="AB210" s="12"/>
      <c r="AC210" s="12"/>
    </row>
    <row r="211">
      <c r="A211" s="12" t="s">
        <v>522</v>
      </c>
      <c r="B211" s="20"/>
      <c r="C211" s="20"/>
      <c r="D211" s="19"/>
      <c r="E211" s="19"/>
      <c r="F211" s="19"/>
      <c r="G211" s="19"/>
      <c r="H211" s="12"/>
      <c r="I211" s="12"/>
      <c r="J211" s="12"/>
      <c r="K211" s="12"/>
      <c r="L211" s="12"/>
      <c r="M211" s="12"/>
      <c r="N211" s="12"/>
      <c r="O211" s="12"/>
      <c r="P211" s="12"/>
      <c r="Q211" s="12"/>
      <c r="R211" s="12"/>
      <c r="S211" s="12"/>
      <c r="T211" s="12"/>
      <c r="U211" s="12"/>
      <c r="V211" s="12"/>
      <c r="W211" s="12"/>
      <c r="X211" s="12"/>
      <c r="Y211" s="12"/>
      <c r="Z211" s="12"/>
      <c r="AA211" s="12"/>
      <c r="AB211" s="12"/>
      <c r="AC211" s="12"/>
    </row>
    <row r="212">
      <c r="A212" s="12" t="s">
        <v>107</v>
      </c>
      <c r="B212" s="20"/>
      <c r="C212" s="20"/>
      <c r="D212" s="19"/>
      <c r="E212" s="19"/>
      <c r="F212" s="19"/>
      <c r="G212" s="19"/>
      <c r="L212" s="25"/>
      <c r="M212" s="25"/>
      <c r="N212" s="25"/>
      <c r="O212" s="25"/>
      <c r="P212" s="25"/>
      <c r="Q212" s="25"/>
      <c r="R212" s="25"/>
      <c r="S212" s="25"/>
      <c r="T212" s="25"/>
      <c r="U212" s="25"/>
      <c r="V212" s="25"/>
      <c r="W212" s="25"/>
      <c r="X212" s="25"/>
      <c r="Y212" s="25"/>
      <c r="Z212" s="25"/>
      <c r="AA212" s="25"/>
      <c r="AB212" s="25"/>
      <c r="AC212" s="25"/>
    </row>
    <row r="213">
      <c r="A213" s="12" t="s">
        <v>294</v>
      </c>
      <c r="B213" s="20"/>
      <c r="C213" s="20"/>
      <c r="D213" s="19"/>
      <c r="E213" s="19"/>
      <c r="F213" s="19"/>
      <c r="G213" s="19"/>
      <c r="L213" s="25"/>
      <c r="M213" s="25"/>
      <c r="N213" s="25"/>
      <c r="O213" s="25"/>
      <c r="P213" s="25"/>
      <c r="Q213" s="25"/>
      <c r="R213" s="25"/>
      <c r="S213" s="25"/>
      <c r="T213" s="25"/>
      <c r="U213" s="25"/>
      <c r="V213" s="25"/>
      <c r="W213" s="25"/>
      <c r="X213" s="25"/>
      <c r="Y213" s="25"/>
      <c r="Z213" s="25"/>
      <c r="AA213" s="25"/>
      <c r="AB213" s="25"/>
      <c r="AC213" s="25"/>
    </row>
    <row r="214">
      <c r="A214" s="12" t="s">
        <v>125</v>
      </c>
      <c r="B214" s="20"/>
      <c r="C214" s="20"/>
      <c r="D214" s="19"/>
      <c r="E214" s="19"/>
      <c r="F214" s="19"/>
      <c r="G214" s="19"/>
      <c r="H214" s="37"/>
      <c r="I214" s="37"/>
      <c r="J214" s="37"/>
      <c r="K214" s="37"/>
      <c r="L214" s="30" t="str">
        <f>IFERROR(__xludf.DUMMYFUNCTION("FILTER(FLATTEN(H150:AC211), FLATTEN(H150:AC211) &lt;&gt; """")"),"P1")</f>
        <v>P1</v>
      </c>
      <c r="M214" s="25" t="str">
        <f t="array" ref="M214:M362">UNIQUE(L214:L1846)</f>
        <v>#REF!</v>
      </c>
      <c r="N214" s="25">
        <f t="shared" ref="N214:N371" si="3">COUNTIF(L$214:L1846,M214)</f>
        <v>0</v>
      </c>
      <c r="O214" s="15" t="s">
        <v>669</v>
      </c>
      <c r="P214" s="38">
        <v>10.0</v>
      </c>
      <c r="Q214" s="25"/>
      <c r="R214" s="25"/>
      <c r="S214" s="25"/>
      <c r="T214" s="25"/>
      <c r="U214" s="25"/>
      <c r="V214" s="25"/>
      <c r="W214" s="25"/>
      <c r="X214" s="25"/>
      <c r="Y214" s="25"/>
      <c r="Z214" s="25"/>
      <c r="AA214" s="25"/>
      <c r="AB214" s="25"/>
      <c r="AC214" s="25"/>
    </row>
    <row r="215">
      <c r="A215" s="12" t="s">
        <v>506</v>
      </c>
      <c r="B215" s="20"/>
      <c r="C215" s="20"/>
      <c r="D215" s="19"/>
      <c r="E215" s="19"/>
      <c r="F215" s="19"/>
      <c r="G215" s="19"/>
      <c r="L215" s="27" t="str">
        <f>IFERROR(__xludf.DUMMYFUNCTION("""COMPUTED_VALUE"""),"P2")</f>
        <v>P2</v>
      </c>
      <c r="M215" s="27"/>
      <c r="N215" s="25">
        <f t="shared" si="3"/>
        <v>0</v>
      </c>
      <c r="O215" s="15" t="s">
        <v>670</v>
      </c>
      <c r="P215" s="38">
        <v>10.0</v>
      </c>
    </row>
    <row r="216">
      <c r="A216" s="12" t="s">
        <v>505</v>
      </c>
      <c r="B216" s="20"/>
      <c r="C216" s="20"/>
      <c r="D216" s="19"/>
      <c r="E216" s="19"/>
      <c r="F216" s="19"/>
      <c r="G216" s="19"/>
      <c r="L216" s="27" t="str">
        <f>IFERROR(__xludf.DUMMYFUNCTION("""COMPUTED_VALUE"""),"P3")</f>
        <v>P3</v>
      </c>
      <c r="M216" s="27"/>
      <c r="N216" s="25">
        <f t="shared" si="3"/>
        <v>0</v>
      </c>
      <c r="O216" s="15" t="s">
        <v>671</v>
      </c>
      <c r="P216" s="38">
        <v>7.0</v>
      </c>
    </row>
    <row r="217">
      <c r="A217" s="12" t="s">
        <v>504</v>
      </c>
      <c r="B217" s="20"/>
      <c r="C217" s="20"/>
      <c r="D217" s="19"/>
      <c r="E217" s="19"/>
      <c r="F217" s="19"/>
      <c r="G217" s="19"/>
      <c r="L217" s="27" t="str">
        <f>IFERROR(__xludf.DUMMYFUNCTION("""COMPUTED_VALUE"""),"P4")</f>
        <v>P4</v>
      </c>
      <c r="M217" s="27"/>
      <c r="N217" s="25">
        <f t="shared" si="3"/>
        <v>0</v>
      </c>
      <c r="O217" s="15" t="s">
        <v>672</v>
      </c>
      <c r="P217" s="38">
        <v>6.0</v>
      </c>
    </row>
    <row r="218">
      <c r="A218" s="12" t="s">
        <v>507</v>
      </c>
      <c r="B218" s="20"/>
      <c r="C218" s="20"/>
      <c r="D218" s="19"/>
      <c r="E218" s="19"/>
      <c r="F218" s="19"/>
      <c r="G218" s="19"/>
      <c r="L218" s="27" t="str">
        <f>IFERROR(__xludf.DUMMYFUNCTION("""COMPUTED_VALUE"""),"P5;Normal")</f>
        <v>P5;Normal</v>
      </c>
      <c r="M218" s="27"/>
      <c r="N218" s="25">
        <f t="shared" si="3"/>
        <v>0</v>
      </c>
      <c r="O218" s="15" t="s">
        <v>673</v>
      </c>
      <c r="P218" s="38">
        <v>6.0</v>
      </c>
    </row>
    <row r="219">
      <c r="A219" s="12" t="s">
        <v>516</v>
      </c>
      <c r="B219" s="20"/>
      <c r="C219" s="20"/>
      <c r="D219" s="19"/>
      <c r="E219" s="19"/>
      <c r="F219" s="19"/>
      <c r="G219" s="19"/>
      <c r="L219" s="27" t="str">
        <f>IFERROR(__xludf.DUMMYFUNCTION("""COMPUTED_VALUE"""),"S3")</f>
        <v>S3</v>
      </c>
      <c r="M219" s="27"/>
      <c r="N219" s="25">
        <f t="shared" si="3"/>
        <v>0</v>
      </c>
      <c r="O219" s="15" t="s">
        <v>674</v>
      </c>
      <c r="P219" s="38">
        <v>5.0</v>
      </c>
    </row>
    <row r="220">
      <c r="A220" s="12" t="s">
        <v>517</v>
      </c>
      <c r="B220" s="20"/>
      <c r="C220" s="20"/>
      <c r="D220" s="19"/>
      <c r="E220" s="19"/>
      <c r="F220" s="19"/>
      <c r="G220" s="19"/>
      <c r="L220" s="27" t="str">
        <f>IFERROR(__xludf.DUMMYFUNCTION("""COMPUTED_VALUE"""),"S4")</f>
        <v>S4</v>
      </c>
      <c r="M220" s="27"/>
      <c r="N220" s="25">
        <f t="shared" si="3"/>
        <v>0</v>
      </c>
      <c r="O220" s="15" t="s">
        <v>675</v>
      </c>
      <c r="P220" s="38">
        <v>4.0</v>
      </c>
    </row>
    <row r="221">
      <c r="A221" s="12" t="s">
        <v>173</v>
      </c>
      <c r="B221" s="20"/>
      <c r="C221" s="20"/>
      <c r="D221" s="19"/>
      <c r="E221" s="19"/>
      <c r="F221" s="19"/>
      <c r="G221" s="19"/>
      <c r="L221" s="27" t="str">
        <f>IFERROR(__xludf.DUMMYFUNCTION("""COMPUTED_VALUE"""),"Critical")</f>
        <v>Critical</v>
      </c>
      <c r="M221" s="27"/>
      <c r="N221" s="25">
        <f t="shared" si="3"/>
        <v>0</v>
      </c>
      <c r="O221" s="15" t="s">
        <v>676</v>
      </c>
      <c r="P221" s="38">
        <v>4.0</v>
      </c>
    </row>
    <row r="222">
      <c r="A222" s="12" t="s">
        <v>107</v>
      </c>
      <c r="B222" s="20"/>
      <c r="C222" s="20"/>
      <c r="D222" s="19"/>
      <c r="E222" s="19"/>
      <c r="F222" s="19"/>
      <c r="G222" s="19"/>
      <c r="L222" s="27" t="str">
        <f>IFERROR(__xludf.DUMMYFUNCTION("""COMPUTED_VALUE"""),"Actuator")</f>
        <v>Actuator</v>
      </c>
      <c r="M222" s="27"/>
      <c r="N222" s="25">
        <f t="shared" si="3"/>
        <v>0</v>
      </c>
      <c r="O222" s="15" t="s">
        <v>677</v>
      </c>
      <c r="P222" s="38">
        <v>4.0</v>
      </c>
    </row>
    <row r="223">
      <c r="A223" s="12" t="s">
        <v>294</v>
      </c>
      <c r="B223" s="20"/>
      <c r="C223" s="20"/>
      <c r="D223" s="19"/>
      <c r="E223" s="19"/>
      <c r="F223" s="19"/>
      <c r="G223" s="19"/>
      <c r="L223" s="27" t="str">
        <f>IFERROR(__xludf.DUMMYFUNCTION("""COMPUTED_VALUE"""),"Pre-actuator")</f>
        <v>Pre-actuator</v>
      </c>
      <c r="M223" s="27"/>
      <c r="N223" s="25">
        <f t="shared" si="3"/>
        <v>0</v>
      </c>
      <c r="O223" s="15" t="s">
        <v>678</v>
      </c>
      <c r="P223" s="38">
        <v>4.0</v>
      </c>
    </row>
    <row r="224">
      <c r="A224" s="12" t="s">
        <v>125</v>
      </c>
      <c r="B224" s="20"/>
      <c r="C224" s="20"/>
      <c r="D224" s="19"/>
      <c r="E224" s="19"/>
      <c r="F224" s="19"/>
      <c r="G224" s="19"/>
      <c r="L224" s="27" t="str">
        <f>IFERROR(__xludf.DUMMYFUNCTION("""COMPUTED_VALUE"""),"Sensor")</f>
        <v>Sensor</v>
      </c>
      <c r="M224" s="27"/>
      <c r="N224" s="25">
        <f t="shared" si="3"/>
        <v>0</v>
      </c>
      <c r="O224" s="15" t="s">
        <v>679</v>
      </c>
      <c r="P224" s="38">
        <v>3.0</v>
      </c>
    </row>
    <row r="225">
      <c r="A225" s="12" t="s">
        <v>506</v>
      </c>
      <c r="B225" s="20"/>
      <c r="C225" s="20"/>
      <c r="D225" s="19"/>
      <c r="E225" s="19"/>
      <c r="F225" s="19"/>
      <c r="G225" s="19"/>
      <c r="L225" s="27" t="str">
        <f>IFERROR(__xludf.DUMMYFUNCTION("""COMPUTED_VALUE"""),"Defector")</f>
        <v>Defector</v>
      </c>
      <c r="M225" s="27"/>
      <c r="N225" s="25">
        <f t="shared" si="3"/>
        <v>0</v>
      </c>
      <c r="O225" s="15" t="s">
        <v>680</v>
      </c>
      <c r="P225" s="38">
        <v>3.0</v>
      </c>
    </row>
    <row r="226">
      <c r="A226" s="12" t="s">
        <v>505</v>
      </c>
      <c r="B226" s="20"/>
      <c r="C226" s="20"/>
      <c r="D226" s="19"/>
      <c r="E226" s="19"/>
      <c r="F226" s="19"/>
      <c r="G226" s="19"/>
      <c r="L226" s="27" t="str">
        <f>IFERROR(__xludf.DUMMYFUNCTION("""COMPUTED_VALUE"""),"Other")</f>
        <v>Other</v>
      </c>
      <c r="M226" s="27"/>
      <c r="N226" s="25">
        <f t="shared" si="3"/>
        <v>0</v>
      </c>
      <c r="O226" s="15" t="s">
        <v>681</v>
      </c>
      <c r="P226" s="38">
        <v>3.0</v>
      </c>
    </row>
    <row r="227">
      <c r="A227" s="12" t="s">
        <v>504</v>
      </c>
      <c r="B227" s="20"/>
      <c r="C227" s="20"/>
      <c r="D227" s="19"/>
      <c r="E227" s="19"/>
      <c r="F227" s="19"/>
      <c r="G227" s="19"/>
      <c r="L227" s="27" t="str">
        <f>IFERROR(__xludf.DUMMYFUNCTION("""COMPUTED_VALUE"""),"Provision 1")</f>
        <v>Provision 1</v>
      </c>
      <c r="M227" s="27"/>
      <c r="N227" s="25">
        <f t="shared" si="3"/>
        <v>0</v>
      </c>
      <c r="O227" s="15" t="s">
        <v>682</v>
      </c>
      <c r="P227" s="38">
        <v>3.0</v>
      </c>
      <c r="R227" s="39" t="s">
        <v>683</v>
      </c>
    </row>
    <row r="228">
      <c r="A228" s="12" t="s">
        <v>507</v>
      </c>
      <c r="B228" s="20"/>
      <c r="C228" s="20"/>
      <c r="D228" s="19"/>
      <c r="E228" s="19"/>
      <c r="F228" s="19"/>
      <c r="G228" s="19"/>
      <c r="L228" s="27" t="str">
        <f>IFERROR(__xludf.DUMMYFUNCTION("""COMPUTED_VALUE"""),"Provision 2")</f>
        <v>Provision 2</v>
      </c>
      <c r="M228" s="27"/>
      <c r="N228" s="25">
        <f t="shared" si="3"/>
        <v>0</v>
      </c>
      <c r="O228" s="15" t="s">
        <v>684</v>
      </c>
      <c r="P228" s="38">
        <v>3.0</v>
      </c>
    </row>
    <row r="229">
      <c r="A229" s="12" t="s">
        <v>516</v>
      </c>
      <c r="B229" s="20"/>
      <c r="C229" s="20"/>
      <c r="D229" s="19"/>
      <c r="E229" s="19"/>
      <c r="F229" s="19"/>
      <c r="G229" s="19"/>
      <c r="L229" s="27" t="str">
        <f>IFERROR(__xludf.DUMMYFUNCTION("""COMPUTED_VALUE"""),"Provision 3")</f>
        <v>Provision 3</v>
      </c>
      <c r="M229" s="27"/>
      <c r="N229" s="25">
        <f t="shared" si="3"/>
        <v>0</v>
      </c>
      <c r="O229" s="15" t="s">
        <v>685</v>
      </c>
      <c r="P229" s="38">
        <v>3.0</v>
      </c>
    </row>
    <row r="230">
      <c r="A230" s="12" t="s">
        <v>517</v>
      </c>
      <c r="B230" s="20"/>
      <c r="C230" s="20"/>
      <c r="D230" s="19"/>
      <c r="E230" s="19"/>
      <c r="F230" s="19"/>
      <c r="G230" s="19"/>
      <c r="L230" s="27" t="str">
        <f>IFERROR(__xludf.DUMMYFUNCTION("""COMPUTED_VALUE"""),"Provision 4")</f>
        <v>Provision 4</v>
      </c>
      <c r="M230" s="27"/>
      <c r="N230" s="25">
        <f t="shared" si="3"/>
        <v>0</v>
      </c>
      <c r="O230" s="15" t="s">
        <v>686</v>
      </c>
      <c r="P230" s="38">
        <v>2.0</v>
      </c>
    </row>
    <row r="231">
      <c r="A231" s="12" t="s">
        <v>173</v>
      </c>
      <c r="B231" s="20"/>
      <c r="C231" s="20"/>
      <c r="D231" s="19"/>
      <c r="E231" s="19"/>
      <c r="F231" s="19"/>
      <c r="G231" s="19"/>
      <c r="L231" s="27" t="str">
        <f>IFERROR(__xludf.DUMMYFUNCTION("""COMPUTED_VALUE"""),"Provision 5")</f>
        <v>Provision 5</v>
      </c>
      <c r="M231" s="27"/>
      <c r="N231" s="25">
        <f t="shared" si="3"/>
        <v>0</v>
      </c>
      <c r="O231" s="15" t="s">
        <v>687</v>
      </c>
      <c r="P231" s="38">
        <v>2.0</v>
      </c>
    </row>
    <row r="232">
      <c r="A232" s="12" t="s">
        <v>303</v>
      </c>
      <c r="B232" s="20"/>
      <c r="C232" s="20"/>
      <c r="D232" s="19"/>
      <c r="E232" s="19"/>
      <c r="F232" s="19"/>
      <c r="G232" s="19"/>
      <c r="L232" s="27" t="str">
        <f>IFERROR(__xludf.DUMMYFUNCTION("""COMPUTED_VALUE"""),"Provision 6")</f>
        <v>Provision 6</v>
      </c>
      <c r="M232" s="27"/>
      <c r="N232" s="25">
        <f t="shared" si="3"/>
        <v>0</v>
      </c>
      <c r="O232" s="15" t="s">
        <v>688</v>
      </c>
      <c r="P232" s="38">
        <v>2.0</v>
      </c>
    </row>
    <row r="233">
      <c r="A233" s="12" t="s">
        <v>548</v>
      </c>
      <c r="B233" s="20"/>
      <c r="C233" s="20"/>
      <c r="D233" s="19"/>
      <c r="E233" s="19"/>
      <c r="F233" s="19"/>
      <c r="G233" s="19"/>
      <c r="L233" s="27" t="str">
        <f>IFERROR(__xludf.DUMMYFUNCTION("""COMPUTED_VALUE"""),"Provision 7")</f>
        <v>Provision 7</v>
      </c>
      <c r="M233" s="27"/>
      <c r="N233" s="25">
        <f t="shared" si="3"/>
        <v>0</v>
      </c>
      <c r="O233" s="15" t="s">
        <v>689</v>
      </c>
      <c r="P233" s="38">
        <v>2.0</v>
      </c>
    </row>
    <row r="234">
      <c r="A234" s="12" t="s">
        <v>27</v>
      </c>
      <c r="B234" s="20"/>
      <c r="C234" s="20"/>
      <c r="D234" s="19"/>
      <c r="E234" s="19"/>
      <c r="F234" s="19"/>
      <c r="G234" s="19"/>
      <c r="L234" s="27" t="str">
        <f>IFERROR(__xludf.DUMMYFUNCTION("""COMPUTED_VALUE"""),"Provision 8")</f>
        <v>Provision 8</v>
      </c>
      <c r="M234" s="27"/>
      <c r="N234" s="25">
        <f t="shared" si="3"/>
        <v>0</v>
      </c>
      <c r="O234" s="15" t="s">
        <v>690</v>
      </c>
      <c r="P234" s="38">
        <v>2.0</v>
      </c>
    </row>
    <row r="235">
      <c r="A235" s="12" t="s">
        <v>107</v>
      </c>
      <c r="B235" s="20"/>
      <c r="C235" s="20"/>
      <c r="D235" s="19"/>
      <c r="E235" s="19"/>
      <c r="F235" s="19"/>
      <c r="G235" s="19"/>
      <c r="L235" s="27" t="str">
        <f>IFERROR(__xludf.DUMMYFUNCTION("""COMPUTED_VALUE"""),"Provision 9")</f>
        <v>Provision 9</v>
      </c>
      <c r="M235" s="27"/>
      <c r="N235" s="25">
        <f t="shared" si="3"/>
        <v>0</v>
      </c>
      <c r="O235" s="15" t="s">
        <v>691</v>
      </c>
      <c r="P235" s="38">
        <v>2.0</v>
      </c>
    </row>
    <row r="236">
      <c r="A236" s="12" t="s">
        <v>504</v>
      </c>
      <c r="B236" s="20"/>
      <c r="C236" s="20"/>
      <c r="D236" s="19"/>
      <c r="E236" s="19"/>
      <c r="F236" s="19"/>
      <c r="G236" s="19"/>
      <c r="L236" s="27" t="str">
        <f>IFERROR(__xludf.DUMMYFUNCTION("""COMPUTED_VALUE"""),"Provision 10")</f>
        <v>Provision 10</v>
      </c>
      <c r="M236" s="27"/>
      <c r="N236" s="25">
        <f t="shared" si="3"/>
        <v>0</v>
      </c>
      <c r="O236" s="24" t="s">
        <v>692</v>
      </c>
      <c r="P236" s="25">
        <v>1.0</v>
      </c>
    </row>
    <row r="237">
      <c r="A237" s="12" t="s">
        <v>27</v>
      </c>
      <c r="B237" s="20"/>
      <c r="C237" s="20"/>
      <c r="D237" s="19"/>
      <c r="E237" s="19"/>
      <c r="F237" s="19"/>
      <c r="G237" s="19"/>
      <c r="L237" s="27" t="str">
        <f>IFERROR(__xludf.DUMMYFUNCTION("""COMPUTED_VALUE"""),"Provision 11")</f>
        <v>Provision 11</v>
      </c>
      <c r="M237" s="27"/>
      <c r="N237" s="25">
        <f t="shared" si="3"/>
        <v>0</v>
      </c>
    </row>
    <row r="238">
      <c r="A238" s="12" t="s">
        <v>107</v>
      </c>
      <c r="B238" s="20"/>
      <c r="C238" s="20"/>
      <c r="D238" s="19"/>
      <c r="E238" s="19"/>
      <c r="F238" s="19"/>
      <c r="G238" s="19"/>
      <c r="L238" s="27" t="str">
        <f>IFERROR(__xludf.DUMMYFUNCTION("""COMPUTED_VALUE"""),"Provision 12")</f>
        <v>Provision 12</v>
      </c>
      <c r="M238" s="27"/>
      <c r="N238" s="25">
        <f t="shared" si="3"/>
        <v>0</v>
      </c>
    </row>
    <row r="239">
      <c r="A239" s="12" t="s">
        <v>27</v>
      </c>
      <c r="B239" s="20"/>
      <c r="C239" s="20"/>
      <c r="D239" s="19"/>
      <c r="E239" s="19"/>
      <c r="F239" s="19"/>
      <c r="G239" s="19"/>
      <c r="L239" s="27" t="str">
        <f>IFERROR(__xludf.DUMMYFUNCTION("""COMPUTED_VALUE"""),"Provision 13")</f>
        <v>Provision 13</v>
      </c>
      <c r="M239" s="27"/>
      <c r="N239" s="25">
        <f t="shared" si="3"/>
        <v>0</v>
      </c>
    </row>
    <row r="240">
      <c r="A240" s="12" t="s">
        <v>522</v>
      </c>
      <c r="B240" s="20"/>
      <c r="C240" s="20"/>
      <c r="D240" s="19"/>
      <c r="E240" s="19"/>
      <c r="F240" s="19"/>
      <c r="G240" s="19"/>
      <c r="L240" s="27" t="str">
        <f>IFERROR(__xludf.DUMMYFUNCTION("""COMPUTED_VALUE"""),"Provision 14")</f>
        <v>Provision 14</v>
      </c>
      <c r="M240" s="27"/>
      <c r="N240" s="25">
        <f t="shared" si="3"/>
        <v>0</v>
      </c>
    </row>
    <row r="241">
      <c r="A241" s="12" t="s">
        <v>107</v>
      </c>
      <c r="B241" s="20"/>
      <c r="C241" s="20"/>
      <c r="D241" s="19"/>
      <c r="E241" s="19"/>
      <c r="F241" s="19"/>
      <c r="G241" s="19"/>
      <c r="L241" s="27" t="str">
        <f>IFERROR(__xludf.DUMMYFUNCTION("""COMPUTED_VALUE"""),"Provision 15")</f>
        <v>Provision 15</v>
      </c>
      <c r="M241" s="27"/>
      <c r="N241" s="25">
        <f t="shared" si="3"/>
        <v>0</v>
      </c>
    </row>
    <row r="242">
      <c r="A242" s="12" t="s">
        <v>294</v>
      </c>
      <c r="B242" s="20"/>
      <c r="C242" s="20"/>
      <c r="D242" s="19"/>
      <c r="E242" s="19"/>
      <c r="F242" s="19"/>
      <c r="G242" s="19"/>
      <c r="L242" s="27" t="str">
        <f>IFERROR(__xludf.DUMMYFUNCTION("""COMPUTED_VALUE"""),"Provision 16")</f>
        <v>Provision 16</v>
      </c>
      <c r="M242" s="27"/>
      <c r="N242" s="25">
        <f t="shared" si="3"/>
        <v>0</v>
      </c>
    </row>
    <row r="243">
      <c r="A243" s="12" t="s">
        <v>125</v>
      </c>
      <c r="B243" s="20"/>
      <c r="C243" s="20"/>
      <c r="D243" s="19"/>
      <c r="E243" s="19"/>
      <c r="F243" s="19"/>
      <c r="G243" s="19"/>
      <c r="L243" s="27" t="str">
        <f>IFERROR(__xludf.DUMMYFUNCTION("""COMPUTED_VALUE"""),"Provision 17")</f>
        <v>Provision 17</v>
      </c>
      <c r="M243" s="27"/>
      <c r="N243" s="25">
        <f t="shared" si="3"/>
        <v>0</v>
      </c>
    </row>
    <row r="244">
      <c r="A244" s="12" t="s">
        <v>506</v>
      </c>
      <c r="B244" s="20"/>
      <c r="C244" s="20"/>
      <c r="D244" s="19"/>
      <c r="E244" s="19"/>
      <c r="F244" s="19"/>
      <c r="G244" s="19"/>
      <c r="L244" s="27" t="str">
        <f>IFERROR(__xludf.DUMMYFUNCTION("""COMPUTED_VALUE"""),"Provision 18")</f>
        <v>Provision 18</v>
      </c>
      <c r="M244" s="27"/>
      <c r="N244" s="25">
        <f t="shared" si="3"/>
        <v>0</v>
      </c>
    </row>
    <row r="245">
      <c r="A245" s="12" t="s">
        <v>505</v>
      </c>
      <c r="B245" s="20"/>
      <c r="C245" s="20"/>
      <c r="D245" s="19"/>
      <c r="E245" s="19"/>
      <c r="F245" s="19"/>
      <c r="G245" s="19"/>
      <c r="L245" s="27" t="str">
        <f>IFERROR(__xludf.DUMMYFUNCTION("""COMPUTED_VALUE"""),"Provision 19")</f>
        <v>Provision 19</v>
      </c>
      <c r="M245" s="27"/>
      <c r="N245" s="25">
        <f t="shared" si="3"/>
        <v>0</v>
      </c>
    </row>
    <row r="246">
      <c r="A246" s="12" t="s">
        <v>504</v>
      </c>
      <c r="B246" s="20"/>
      <c r="C246" s="20"/>
      <c r="D246" s="19"/>
      <c r="E246" s="19"/>
      <c r="F246" s="19"/>
      <c r="G246" s="19"/>
      <c r="L246" s="27" t="str">
        <f>IFERROR(__xludf.DUMMYFUNCTION("""COMPUTED_VALUE"""),"Neutral")</f>
        <v>Neutral</v>
      </c>
      <c r="M246" s="27"/>
      <c r="N246" s="25">
        <f t="shared" si="3"/>
        <v>0</v>
      </c>
    </row>
    <row r="247">
      <c r="A247" s="12" t="s">
        <v>507</v>
      </c>
      <c r="B247" s="20"/>
      <c r="C247" s="20"/>
      <c r="D247" s="19"/>
      <c r="E247" s="19"/>
      <c r="F247" s="19"/>
      <c r="G247" s="19"/>
      <c r="L247" s="27" t="str">
        <f>IFERROR(__xludf.DUMMYFUNCTION("""COMPUTED_VALUE"""),"Conflict")</f>
        <v>Conflict</v>
      </c>
      <c r="M247" s="27"/>
      <c r="N247" s="25">
        <f t="shared" si="3"/>
        <v>0</v>
      </c>
    </row>
    <row r="248">
      <c r="A248" s="12" t="s">
        <v>516</v>
      </c>
      <c r="B248" s="20"/>
      <c r="C248" s="20"/>
      <c r="D248" s="19"/>
      <c r="E248" s="19"/>
      <c r="F248" s="19"/>
      <c r="G248" s="19"/>
      <c r="L248" s="27" t="str">
        <f>IFERROR(__xludf.DUMMYFUNCTION("""COMPUTED_VALUE"""),"Positive")</f>
        <v>Positive</v>
      </c>
      <c r="M248" s="27"/>
      <c r="N248" s="25">
        <f t="shared" si="3"/>
        <v>0</v>
      </c>
    </row>
    <row r="249">
      <c r="A249" s="12" t="s">
        <v>517</v>
      </c>
      <c r="B249" s="20"/>
      <c r="C249" s="20"/>
      <c r="D249" s="19"/>
      <c r="E249" s="19"/>
      <c r="F249" s="19"/>
      <c r="G249" s="19"/>
      <c r="L249" s="27" t="str">
        <f>IFERROR(__xludf.DUMMYFUNCTION("""COMPUTED_VALUE"""),"Negative")</f>
        <v>Negative</v>
      </c>
      <c r="M249" s="27"/>
      <c r="N249" s="25">
        <f t="shared" si="3"/>
        <v>0</v>
      </c>
    </row>
    <row r="250">
      <c r="A250" s="12" t="s">
        <v>173</v>
      </c>
      <c r="B250" s="20"/>
      <c r="C250" s="20"/>
      <c r="D250" s="19"/>
      <c r="E250" s="19"/>
      <c r="F250" s="19"/>
      <c r="G250" s="19"/>
      <c r="L250" s="27" t="str">
        <f>IFERROR(__xludf.DUMMYFUNCTION("""COMPUTED_VALUE"""),"Positive")</f>
        <v>Positive</v>
      </c>
      <c r="M250" s="27"/>
      <c r="N250" s="25">
        <f t="shared" si="3"/>
        <v>0</v>
      </c>
    </row>
    <row r="251">
      <c r="A251" s="12" t="s">
        <v>522</v>
      </c>
      <c r="B251" s="20"/>
      <c r="C251" s="20"/>
      <c r="D251" s="19"/>
      <c r="E251" s="19"/>
      <c r="F251" s="19"/>
      <c r="G251" s="19"/>
      <c r="L251" s="27" t="str">
        <f>IFERROR(__xludf.DUMMYFUNCTION("""COMPUTED_VALUE"""),"Negative")</f>
        <v>Negative</v>
      </c>
      <c r="M251" s="27"/>
      <c r="N251" s="25">
        <f t="shared" si="3"/>
        <v>0</v>
      </c>
    </row>
    <row r="252">
      <c r="A252" s="12" t="s">
        <v>107</v>
      </c>
      <c r="B252" s="20"/>
      <c r="C252" s="20"/>
      <c r="D252" s="19"/>
      <c r="E252" s="19"/>
      <c r="F252" s="19"/>
      <c r="G252" s="19"/>
      <c r="L252" s="27" t="str">
        <f>IFERROR(__xludf.DUMMYFUNCTION("""COMPUTED_VALUE"""),"Positive")</f>
        <v>Positive</v>
      </c>
      <c r="M252" s="27"/>
      <c r="N252" s="25">
        <f t="shared" si="3"/>
        <v>0</v>
      </c>
    </row>
    <row r="253">
      <c r="A253" s="12" t="s">
        <v>294</v>
      </c>
      <c r="B253" s="20"/>
      <c r="C253" s="20"/>
      <c r="D253" s="19"/>
      <c r="E253" s="19"/>
      <c r="F253" s="19"/>
      <c r="G253" s="19"/>
      <c r="L253" s="27" t="str">
        <f>IFERROR(__xludf.DUMMYFUNCTION("""COMPUTED_VALUE"""),"Negative")</f>
        <v>Negative</v>
      </c>
      <c r="M253" s="27"/>
      <c r="N253" s="25">
        <f t="shared" si="3"/>
        <v>0</v>
      </c>
    </row>
    <row r="254">
      <c r="A254" s="12" t="s">
        <v>125</v>
      </c>
      <c r="B254" s="20"/>
      <c r="C254" s="20"/>
      <c r="D254" s="19"/>
      <c r="E254" s="19"/>
      <c r="F254" s="19"/>
      <c r="G254" s="19"/>
      <c r="L254" s="27" t="str">
        <f>IFERROR(__xludf.DUMMYFUNCTION("""COMPUTED_VALUE"""),"Consistent")</f>
        <v>Consistent</v>
      </c>
      <c r="M254" s="27"/>
      <c r="N254" s="25">
        <f t="shared" si="3"/>
        <v>0</v>
      </c>
    </row>
    <row r="255">
      <c r="A255" s="12" t="s">
        <v>506</v>
      </c>
      <c r="B255" s="20"/>
      <c r="C255" s="20"/>
      <c r="D255" s="19"/>
      <c r="E255" s="19"/>
      <c r="F255" s="19"/>
      <c r="G255" s="19"/>
      <c r="L255" s="27" t="str">
        <f>IFERROR(__xludf.DUMMYFUNCTION("""COMPUTED_VALUE"""),"Inconsistent")</f>
        <v>Inconsistent</v>
      </c>
      <c r="M255" s="27"/>
      <c r="N255" s="25">
        <f t="shared" si="3"/>
        <v>0</v>
      </c>
    </row>
    <row r="256">
      <c r="A256" s="12" t="s">
        <v>505</v>
      </c>
      <c r="B256" s="20"/>
      <c r="C256" s="20"/>
      <c r="D256" s="19"/>
      <c r="E256" s="19"/>
      <c r="F256" s="19"/>
      <c r="G256" s="19"/>
      <c r="L256" s="27" t="str">
        <f>IFERROR(__xludf.DUMMYFUNCTION("""COMPUTED_VALUE"""),"Positive")</f>
        <v>Positive</v>
      </c>
      <c r="M256" s="27"/>
      <c r="N256" s="25">
        <f t="shared" si="3"/>
        <v>0</v>
      </c>
    </row>
    <row r="257">
      <c r="A257" s="12" t="s">
        <v>504</v>
      </c>
      <c r="B257" s="20"/>
      <c r="C257" s="20"/>
      <c r="D257" s="19"/>
      <c r="E257" s="19"/>
      <c r="F257" s="19"/>
      <c r="G257" s="19"/>
      <c r="L257" s="27" t="str">
        <f>IFERROR(__xludf.DUMMYFUNCTION("""COMPUTED_VALUE"""),"Negative")</f>
        <v>Negative</v>
      </c>
      <c r="M257" s="27"/>
      <c r="N257" s="25">
        <f t="shared" si="3"/>
        <v>0</v>
      </c>
    </row>
    <row r="258">
      <c r="A258" s="12" t="s">
        <v>507</v>
      </c>
      <c r="B258" s="20"/>
      <c r="C258" s="20"/>
      <c r="D258" s="19"/>
      <c r="E258" s="19"/>
      <c r="F258" s="19"/>
      <c r="G258" s="19"/>
      <c r="L258" s="27" t="str">
        <f>IFERROR(__xludf.DUMMYFUNCTION("""COMPUTED_VALUE"""),"Security")</f>
        <v>Security</v>
      </c>
      <c r="M258" s="27"/>
      <c r="N258" s="25">
        <f t="shared" si="3"/>
        <v>0</v>
      </c>
    </row>
    <row r="259">
      <c r="A259" s="12" t="s">
        <v>516</v>
      </c>
      <c r="B259" s="20"/>
      <c r="C259" s="20"/>
      <c r="D259" s="19"/>
      <c r="E259" s="19"/>
      <c r="F259" s="19"/>
      <c r="G259" s="19"/>
      <c r="L259" s="27" t="str">
        <f>IFERROR(__xludf.DUMMYFUNCTION("""COMPUTED_VALUE"""),"Non-Security")</f>
        <v>Non-Security</v>
      </c>
      <c r="M259" s="27"/>
      <c r="N259" s="25">
        <f t="shared" si="3"/>
        <v>0</v>
      </c>
    </row>
    <row r="260">
      <c r="A260" s="12" t="s">
        <v>517</v>
      </c>
      <c r="B260" s="20"/>
      <c r="C260" s="20"/>
      <c r="D260" s="19"/>
      <c r="E260" s="19"/>
      <c r="F260" s="19"/>
      <c r="G260" s="19"/>
      <c r="L260" s="27" t="str">
        <f>IFERROR(__xludf.DUMMYFUNCTION("""COMPUTED_VALUE"""),"Usability")</f>
        <v>Usability</v>
      </c>
      <c r="M260" s="27"/>
      <c r="N260" s="25">
        <f t="shared" si="3"/>
        <v>0</v>
      </c>
    </row>
    <row r="261">
      <c r="A261" s="12" t="s">
        <v>173</v>
      </c>
      <c r="B261" s="20"/>
      <c r="C261" s="20"/>
      <c r="D261" s="19"/>
      <c r="E261" s="19"/>
      <c r="F261" s="19"/>
      <c r="G261" s="19"/>
      <c r="L261" s="27" t="str">
        <f>IFERROR(__xludf.DUMMYFUNCTION("""COMPUTED_VALUE"""),"Portability")</f>
        <v>Portability</v>
      </c>
      <c r="M261" s="27"/>
      <c r="N261" s="25">
        <f t="shared" si="3"/>
        <v>0</v>
      </c>
    </row>
    <row r="262">
      <c r="A262" s="12" t="s">
        <v>522</v>
      </c>
      <c r="B262" s="20"/>
      <c r="C262" s="20"/>
      <c r="D262" s="19"/>
      <c r="E262" s="19"/>
      <c r="F262" s="19"/>
      <c r="G262" s="19"/>
      <c r="L262" s="27" t="str">
        <f>IFERROR(__xludf.DUMMYFUNCTION("""COMPUTED_VALUE"""),"Performance")</f>
        <v>Performance</v>
      </c>
      <c r="M262" s="27"/>
      <c r="N262" s="25">
        <f t="shared" si="3"/>
        <v>0</v>
      </c>
    </row>
    <row r="263">
      <c r="A263" s="12" t="s">
        <v>107</v>
      </c>
      <c r="B263" s="20"/>
      <c r="C263" s="20"/>
      <c r="D263" s="19"/>
      <c r="E263" s="19"/>
      <c r="F263" s="19"/>
      <c r="G263" s="19"/>
      <c r="L263" s="27" t="str">
        <f>IFERROR(__xludf.DUMMYFUNCTION("""COMPUTED_VALUE"""),"Availability")</f>
        <v>Availability</v>
      </c>
      <c r="M263" s="27"/>
      <c r="N263" s="25">
        <f t="shared" si="3"/>
        <v>0</v>
      </c>
    </row>
    <row r="264">
      <c r="A264" s="12" t="s">
        <v>294</v>
      </c>
      <c r="B264" s="20"/>
      <c r="C264" s="20"/>
      <c r="D264" s="19"/>
      <c r="E264" s="19"/>
      <c r="F264" s="19"/>
      <c r="G264" s="19"/>
      <c r="L264" s="27" t="str">
        <f>IFERROR(__xludf.DUMMYFUNCTION("""COMPUTED_VALUE"""),"Authentication")</f>
        <v>Authentication</v>
      </c>
      <c r="M264" s="27"/>
      <c r="N264" s="25">
        <f t="shared" si="3"/>
        <v>0</v>
      </c>
    </row>
    <row r="265">
      <c r="A265" s="12" t="s">
        <v>125</v>
      </c>
      <c r="B265" s="20"/>
      <c r="C265" s="20"/>
      <c r="D265" s="19"/>
      <c r="E265" s="19"/>
      <c r="F265" s="19"/>
      <c r="G265" s="19"/>
      <c r="L265" s="27" t="str">
        <f>IFERROR(__xludf.DUMMYFUNCTION("""COMPUTED_VALUE"""),"Authorization")</f>
        <v>Authorization</v>
      </c>
      <c r="M265" s="27"/>
      <c r="N265" s="25">
        <f t="shared" si="3"/>
        <v>0</v>
      </c>
    </row>
    <row r="266">
      <c r="A266" s="12" t="s">
        <v>506</v>
      </c>
      <c r="B266" s="20"/>
      <c r="C266" s="20"/>
      <c r="D266" s="19"/>
      <c r="E266" s="19"/>
      <c r="F266" s="19"/>
      <c r="G266" s="19"/>
      <c r="L266" s="27" t="str">
        <f>IFERROR(__xludf.DUMMYFUNCTION("""COMPUTED_VALUE"""),"Immunity")</f>
        <v>Immunity</v>
      </c>
      <c r="M266" s="27"/>
      <c r="N266" s="25">
        <f t="shared" si="3"/>
        <v>0</v>
      </c>
    </row>
    <row r="267">
      <c r="A267" s="12" t="s">
        <v>505</v>
      </c>
      <c r="B267" s="20"/>
      <c r="C267" s="20"/>
      <c r="D267" s="19"/>
      <c r="E267" s="19"/>
      <c r="F267" s="19"/>
      <c r="G267" s="19"/>
      <c r="L267" s="27" t="str">
        <f>IFERROR(__xludf.DUMMYFUNCTION("""COMPUTED_VALUE"""),"Integrity")</f>
        <v>Integrity</v>
      </c>
      <c r="M267" s="27"/>
      <c r="N267" s="25">
        <f t="shared" si="3"/>
        <v>0</v>
      </c>
    </row>
    <row r="268">
      <c r="A268" s="12" t="s">
        <v>504</v>
      </c>
      <c r="B268" s="20"/>
      <c r="C268" s="20"/>
      <c r="D268" s="19"/>
      <c r="E268" s="19"/>
      <c r="F268" s="19"/>
      <c r="G268" s="19"/>
      <c r="L268" s="27" t="str">
        <f>IFERROR(__xludf.DUMMYFUNCTION("""COMPUTED_VALUE"""),"Intrusion detection")</f>
        <v>Intrusion detection</v>
      </c>
      <c r="M268" s="27"/>
      <c r="N268" s="25">
        <f t="shared" si="3"/>
        <v>0</v>
      </c>
    </row>
    <row r="269">
      <c r="A269" s="12" t="s">
        <v>507</v>
      </c>
      <c r="B269" s="20"/>
      <c r="C269" s="20"/>
      <c r="D269" s="19"/>
      <c r="E269" s="19"/>
      <c r="F269" s="19"/>
      <c r="G269" s="19"/>
      <c r="L269" s="27" t="str">
        <f>IFERROR(__xludf.DUMMYFUNCTION("""COMPUTED_VALUE"""),"Confidentiality")</f>
        <v>Confidentiality</v>
      </c>
      <c r="M269" s="27"/>
      <c r="N269" s="25">
        <f t="shared" si="3"/>
        <v>0</v>
      </c>
    </row>
    <row r="270">
      <c r="A270" s="12" t="s">
        <v>516</v>
      </c>
      <c r="B270" s="28"/>
      <c r="C270" s="28"/>
      <c r="D270" s="19"/>
      <c r="E270" s="19"/>
      <c r="F270" s="19"/>
      <c r="G270" s="19"/>
      <c r="L270" s="27" t="str">
        <f>IFERROR(__xludf.DUMMYFUNCTION("""COMPUTED_VALUE"""),"Auditing")</f>
        <v>Auditing</v>
      </c>
      <c r="M270" s="27"/>
      <c r="N270" s="25">
        <f t="shared" si="3"/>
        <v>0</v>
      </c>
    </row>
    <row r="271">
      <c r="A271" s="12" t="s">
        <v>517</v>
      </c>
      <c r="B271" s="28"/>
      <c r="C271" s="28"/>
      <c r="D271" s="19"/>
      <c r="E271" s="19"/>
      <c r="F271" s="19"/>
      <c r="G271" s="19"/>
      <c r="L271" s="27" t="str">
        <f>IFERROR(__xludf.DUMMYFUNCTION("""COMPUTED_VALUE"""),"Survivability")</f>
        <v>Survivability</v>
      </c>
      <c r="M271" s="27"/>
      <c r="N271" s="25">
        <f t="shared" si="3"/>
        <v>0</v>
      </c>
    </row>
    <row r="272">
      <c r="A272" s="12" t="s">
        <v>173</v>
      </c>
      <c r="B272" s="28"/>
      <c r="C272" s="28"/>
      <c r="D272" s="19"/>
      <c r="E272" s="19"/>
      <c r="F272" s="19"/>
      <c r="G272" s="19"/>
      <c r="L272" s="27" t="str">
        <f>IFERROR(__xludf.DUMMYFUNCTION("""COMPUTED_VALUE"""),"Maintainability")</f>
        <v>Maintainability</v>
      </c>
      <c r="M272" s="27"/>
      <c r="N272" s="25">
        <f t="shared" si="3"/>
        <v>0</v>
      </c>
    </row>
    <row r="273">
      <c r="A273" s="12" t="s">
        <v>173</v>
      </c>
      <c r="B273" s="20"/>
      <c r="C273" s="20"/>
      <c r="D273" s="19"/>
      <c r="E273" s="19"/>
      <c r="F273" s="19"/>
      <c r="G273" s="19"/>
      <c r="L273" s="27" t="str">
        <f>IFERROR(__xludf.DUMMYFUNCTION("""COMPUTED_VALUE"""),"Functional")</f>
        <v>Functional</v>
      </c>
      <c r="M273" s="27"/>
      <c r="N273" s="25">
        <f t="shared" si="3"/>
        <v>0</v>
      </c>
    </row>
    <row r="274">
      <c r="A274" s="12" t="s">
        <v>42</v>
      </c>
      <c r="B274" s="20"/>
      <c r="C274" s="20"/>
      <c r="D274" s="19"/>
      <c r="E274" s="19"/>
      <c r="F274" s="19"/>
      <c r="G274" s="19"/>
      <c r="L274" s="27" t="str">
        <f>IFERROR(__xludf.DUMMYFUNCTION("""COMPUTED_VALUE"""),"Simplex Contradictory")</f>
        <v>Simplex Contradictory</v>
      </c>
      <c r="M274" s="27"/>
      <c r="N274" s="25">
        <f t="shared" si="3"/>
        <v>0</v>
      </c>
    </row>
    <row r="275">
      <c r="A275" s="12" t="s">
        <v>107</v>
      </c>
      <c r="B275" s="20"/>
      <c r="C275" s="20"/>
      <c r="D275" s="19"/>
      <c r="E275" s="19"/>
      <c r="F275" s="19"/>
      <c r="G275" s="19"/>
      <c r="L275" s="27" t="str">
        <f>IFERROR(__xludf.DUMMYFUNCTION("""COMPUTED_VALUE"""),"Idem Contradictory")</f>
        <v>Idem Contradictory</v>
      </c>
      <c r="M275" s="27"/>
      <c r="N275" s="25">
        <f t="shared" si="3"/>
        <v>0</v>
      </c>
    </row>
    <row r="276">
      <c r="A276" s="12" t="s">
        <v>504</v>
      </c>
      <c r="B276" s="20"/>
      <c r="C276" s="20"/>
      <c r="D276" s="19"/>
      <c r="E276" s="19"/>
      <c r="F276" s="19"/>
      <c r="G276" s="19"/>
      <c r="L276" s="27" t="str">
        <f>IFERROR(__xludf.DUMMYFUNCTION("""COMPUTED_VALUE"""),"Alius Contradictory")</f>
        <v>Alius Contradictory</v>
      </c>
      <c r="M276" s="27"/>
      <c r="N276" s="25">
        <f t="shared" si="3"/>
        <v>0</v>
      </c>
    </row>
    <row r="277">
      <c r="A277" s="12" t="s">
        <v>294</v>
      </c>
      <c r="B277" s="20"/>
      <c r="C277" s="20"/>
      <c r="D277" s="19"/>
      <c r="E277" s="19"/>
      <c r="F277" s="19"/>
      <c r="G277" s="19"/>
      <c r="L277" s="27" t="str">
        <f>IFERROR(__xludf.DUMMYFUNCTION("""COMPUTED_VALUE"""),"Simplex Contrary")</f>
        <v>Simplex Contrary</v>
      </c>
      <c r="M277" s="27"/>
      <c r="N277" s="25">
        <f t="shared" si="3"/>
        <v>0</v>
      </c>
    </row>
    <row r="278">
      <c r="A278" s="12" t="s">
        <v>505</v>
      </c>
      <c r="B278" s="20"/>
      <c r="C278" s="20"/>
      <c r="D278" s="19"/>
      <c r="E278" s="19"/>
      <c r="F278" s="19"/>
      <c r="G278" s="19"/>
      <c r="L278" s="27" t="str">
        <f>IFERROR(__xludf.DUMMYFUNCTION("""COMPUTED_VALUE"""),"Idem Contrary")</f>
        <v>Idem Contrary</v>
      </c>
      <c r="M278" s="27"/>
      <c r="N278" s="25">
        <f t="shared" si="3"/>
        <v>0</v>
      </c>
    </row>
    <row r="279">
      <c r="A279" s="12" t="s">
        <v>52</v>
      </c>
      <c r="B279" s="20"/>
      <c r="C279" s="20"/>
      <c r="D279" s="19"/>
      <c r="E279" s="19"/>
      <c r="F279" s="19"/>
      <c r="G279" s="19"/>
      <c r="L279" s="27" t="str">
        <f>IFERROR(__xludf.DUMMYFUNCTION("""COMPUTED_VALUE"""),"Alius Contrary")</f>
        <v>Alius Contrary</v>
      </c>
      <c r="M279" s="27"/>
      <c r="N279" s="25">
        <f t="shared" si="3"/>
        <v>0</v>
      </c>
    </row>
    <row r="280">
      <c r="A280" s="12" t="s">
        <v>545</v>
      </c>
      <c r="B280" s="20"/>
      <c r="C280" s="20"/>
      <c r="D280" s="19"/>
      <c r="E280" s="19"/>
      <c r="F280" s="19"/>
      <c r="G280" s="19"/>
      <c r="L280" s="27" t="str">
        <f>IFERROR(__xludf.DUMMYFUNCTION("""COMPUTED_VALUE"""),"Simplex Subaltern")</f>
        <v>Simplex Subaltern</v>
      </c>
      <c r="M280" s="27"/>
      <c r="N280" s="25">
        <f t="shared" si="3"/>
        <v>0</v>
      </c>
    </row>
    <row r="281">
      <c r="A281" s="12" t="s">
        <v>173</v>
      </c>
      <c r="B281" s="20"/>
      <c r="C281" s="20"/>
      <c r="D281" s="19"/>
      <c r="E281" s="19"/>
      <c r="F281" s="19"/>
      <c r="G281" s="19"/>
      <c r="L281" s="27" t="str">
        <f>IFERROR(__xludf.DUMMYFUNCTION("""COMPUTED_VALUE"""),"Idem Subaltern")</f>
        <v>Idem Subaltern</v>
      </c>
      <c r="M281" s="27"/>
      <c r="N281" s="25">
        <f t="shared" si="3"/>
        <v>0</v>
      </c>
    </row>
    <row r="282">
      <c r="A282" s="12" t="s">
        <v>42</v>
      </c>
      <c r="B282" s="20"/>
      <c r="C282" s="20"/>
      <c r="D282" s="19"/>
      <c r="E282" s="19"/>
      <c r="F282" s="19"/>
      <c r="G282" s="19"/>
      <c r="L282" s="27" t="str">
        <f>IFERROR(__xludf.DUMMYFUNCTION("""COMPUTED_VALUE"""),"Alius Subaltern")</f>
        <v>Alius Subaltern</v>
      </c>
      <c r="M282" s="27"/>
      <c r="N282" s="25">
        <f t="shared" si="3"/>
        <v>0</v>
      </c>
    </row>
    <row r="283">
      <c r="A283" s="12" t="s">
        <v>107</v>
      </c>
      <c r="B283" s="20"/>
      <c r="C283" s="20"/>
      <c r="D283" s="19"/>
      <c r="E283" s="19"/>
      <c r="F283" s="19"/>
      <c r="G283" s="19"/>
      <c r="L283" s="27" t="str">
        <f>IFERROR(__xludf.DUMMYFUNCTION("""COMPUTED_VALUE"""),"None")</f>
        <v>None</v>
      </c>
      <c r="M283" s="27"/>
      <c r="N283" s="25">
        <f t="shared" si="3"/>
        <v>0</v>
      </c>
    </row>
    <row r="284">
      <c r="A284" s="12" t="s">
        <v>504</v>
      </c>
      <c r="B284" s="20"/>
      <c r="C284" s="20"/>
      <c r="D284" s="19"/>
      <c r="E284" s="19"/>
      <c r="F284" s="19"/>
      <c r="G284" s="19"/>
      <c r="L284" s="27" t="str">
        <f>IFERROR(__xludf.DUMMYFUNCTION("""COMPUTED_VALUE"""),"Consistent")</f>
        <v>Consistent</v>
      </c>
      <c r="M284" s="27"/>
      <c r="N284" s="25">
        <f t="shared" si="3"/>
        <v>0</v>
      </c>
    </row>
    <row r="285">
      <c r="A285" s="12" t="s">
        <v>294</v>
      </c>
      <c r="B285" s="20"/>
      <c r="C285" s="20"/>
      <c r="D285" s="19"/>
      <c r="E285" s="19"/>
      <c r="F285" s="19"/>
      <c r="G285" s="19"/>
      <c r="L285" s="27" t="str">
        <f>IFERROR(__xludf.DUMMYFUNCTION("""COMPUTED_VALUE"""),"Inconsistent")</f>
        <v>Inconsistent</v>
      </c>
      <c r="M285" s="27"/>
      <c r="N285" s="25">
        <f t="shared" si="3"/>
        <v>0</v>
      </c>
    </row>
    <row r="286">
      <c r="A286" s="12" t="s">
        <v>505</v>
      </c>
      <c r="B286" s="20"/>
      <c r="C286" s="20"/>
      <c r="D286" s="19"/>
      <c r="E286" s="19"/>
      <c r="F286" s="19"/>
      <c r="G286" s="19"/>
      <c r="L286" s="27" t="str">
        <f>IFERROR(__xludf.DUMMYFUNCTION("""COMPUTED_VALUE"""),"Positive")</f>
        <v>Positive</v>
      </c>
      <c r="M286" s="27"/>
      <c r="N286" s="25">
        <f t="shared" si="3"/>
        <v>0</v>
      </c>
    </row>
    <row r="287">
      <c r="A287" s="12" t="s">
        <v>52</v>
      </c>
      <c r="B287" s="20"/>
      <c r="C287" s="20"/>
      <c r="D287" s="19"/>
      <c r="E287" s="19"/>
      <c r="F287" s="19"/>
      <c r="G287" s="19"/>
      <c r="L287" s="27" t="str">
        <f>IFERROR(__xludf.DUMMYFUNCTION("""COMPUTED_VALUE"""),"Negative")</f>
        <v>Negative</v>
      </c>
      <c r="M287" s="27"/>
      <c r="N287" s="25">
        <f t="shared" si="3"/>
        <v>0</v>
      </c>
    </row>
    <row r="288">
      <c r="A288" s="12" t="s">
        <v>545</v>
      </c>
      <c r="B288" s="20"/>
      <c r="C288" s="20"/>
      <c r="D288" s="19"/>
      <c r="E288" s="19"/>
      <c r="F288" s="19"/>
      <c r="G288" s="19"/>
      <c r="L288" s="27" t="str">
        <f>IFERROR(__xludf.DUMMYFUNCTION("""COMPUTED_VALUE"""),"Positive")</f>
        <v>Positive</v>
      </c>
      <c r="M288" s="27"/>
      <c r="N288" s="25">
        <f t="shared" si="3"/>
        <v>0</v>
      </c>
    </row>
    <row r="289">
      <c r="A289" s="12" t="s">
        <v>522</v>
      </c>
      <c r="B289" s="20"/>
      <c r="C289" s="20"/>
      <c r="D289" s="19"/>
      <c r="E289" s="19"/>
      <c r="F289" s="19"/>
      <c r="G289" s="19"/>
      <c r="L289" s="27" t="str">
        <f>IFERROR(__xludf.DUMMYFUNCTION("""COMPUTED_VALUE"""),"Negative")</f>
        <v>Negative</v>
      </c>
      <c r="M289" s="27"/>
      <c r="N289" s="25">
        <f t="shared" si="3"/>
        <v>0</v>
      </c>
    </row>
    <row r="290">
      <c r="A290" s="12" t="s">
        <v>522</v>
      </c>
      <c r="B290" s="20"/>
      <c r="C290" s="20"/>
      <c r="D290" s="19"/>
      <c r="E290" s="19"/>
      <c r="F290" s="19"/>
      <c r="G290" s="19"/>
      <c r="L290" s="27" t="str">
        <f>IFERROR(__xludf.DUMMYFUNCTION("""COMPUTED_VALUE"""),"Helpful")</f>
        <v>Helpful</v>
      </c>
      <c r="M290" s="27"/>
      <c r="N290" s="25">
        <f t="shared" si="3"/>
        <v>0</v>
      </c>
    </row>
    <row r="291">
      <c r="A291" s="12" t="s">
        <v>522</v>
      </c>
      <c r="B291" s="20"/>
      <c r="C291" s="20"/>
      <c r="D291" s="19"/>
      <c r="E291" s="19"/>
      <c r="F291" s="19"/>
      <c r="G291" s="19"/>
      <c r="L291" s="27" t="str">
        <f>IFERROR(__xludf.DUMMYFUNCTION("""COMPUTED_VALUE"""),"Useless")</f>
        <v>Useless</v>
      </c>
      <c r="M291" s="27"/>
      <c r="N291" s="25">
        <f t="shared" si="3"/>
        <v>0</v>
      </c>
    </row>
    <row r="292">
      <c r="A292" s="12" t="s">
        <v>173</v>
      </c>
      <c r="B292" s="20"/>
      <c r="C292" s="20"/>
      <c r="D292" s="19"/>
      <c r="E292" s="19"/>
      <c r="F292" s="19"/>
      <c r="G292" s="19"/>
      <c r="L292" s="27" t="str">
        <f>IFERROR(__xludf.DUMMYFUNCTION("""COMPUTED_VALUE"""),"Helpful")</f>
        <v>Helpful</v>
      </c>
      <c r="M292" s="27"/>
      <c r="N292" s="25">
        <f t="shared" si="3"/>
        <v>0</v>
      </c>
    </row>
    <row r="293">
      <c r="A293" s="12" t="s">
        <v>173</v>
      </c>
      <c r="B293" s="20"/>
      <c r="C293" s="20"/>
      <c r="D293" s="19"/>
      <c r="E293" s="19"/>
      <c r="F293" s="19"/>
      <c r="G293" s="19"/>
      <c r="L293" s="27" t="str">
        <f>IFERROR(__xludf.DUMMYFUNCTION("""COMPUTED_VALUE"""),"Useless")</f>
        <v>Useless</v>
      </c>
      <c r="M293" s="27"/>
      <c r="N293" s="25">
        <f t="shared" si="3"/>
        <v>0</v>
      </c>
    </row>
    <row r="294">
      <c r="A294" s="12" t="s">
        <v>522</v>
      </c>
      <c r="B294" s="20"/>
      <c r="C294" s="20"/>
      <c r="D294" s="19"/>
      <c r="E294" s="19"/>
      <c r="F294" s="19"/>
      <c r="G294" s="19"/>
      <c r="L294" s="27" t="str">
        <f>IFERROR(__xludf.DUMMYFUNCTION("""COMPUTED_VALUE"""),"Feature Request")</f>
        <v>Feature Request</v>
      </c>
      <c r="M294" s="27"/>
      <c r="N294" s="25">
        <f t="shared" si="3"/>
        <v>0</v>
      </c>
    </row>
    <row r="295">
      <c r="A295" s="12" t="s">
        <v>107</v>
      </c>
      <c r="B295" s="20"/>
      <c r="C295" s="20"/>
      <c r="D295" s="19"/>
      <c r="E295" s="19"/>
      <c r="F295" s="19"/>
      <c r="G295" s="19"/>
      <c r="L295" s="27" t="str">
        <f>IFERROR(__xludf.DUMMYFUNCTION("""COMPUTED_VALUE"""),"User-friendliness")</f>
        <v>User-friendliness</v>
      </c>
      <c r="M295" s="27"/>
      <c r="N295" s="25">
        <f t="shared" si="3"/>
        <v>0</v>
      </c>
    </row>
    <row r="296">
      <c r="A296" s="12" t="s">
        <v>107</v>
      </c>
      <c r="B296" s="20"/>
      <c r="C296" s="20"/>
      <c r="D296" s="19"/>
      <c r="E296" s="19"/>
      <c r="F296" s="19"/>
      <c r="G296" s="19"/>
      <c r="L296" s="27" t="str">
        <f>IFERROR(__xludf.DUMMYFUNCTION("""COMPUTED_VALUE"""),"Stability")</f>
        <v>Stability</v>
      </c>
      <c r="M296" s="27"/>
      <c r="N296" s="25">
        <f t="shared" si="3"/>
        <v>0</v>
      </c>
    </row>
    <row r="297">
      <c r="A297" s="12" t="s">
        <v>107</v>
      </c>
      <c r="B297" s="20"/>
      <c r="C297" s="20"/>
      <c r="D297" s="19"/>
      <c r="E297" s="19"/>
      <c r="F297" s="19"/>
      <c r="G297" s="19"/>
      <c r="L297" s="27" t="str">
        <f>IFERROR(__xludf.DUMMYFUNCTION("""COMPUTED_VALUE"""),"Performance")</f>
        <v>Performance</v>
      </c>
      <c r="M297" s="27"/>
      <c r="N297" s="25">
        <f t="shared" si="3"/>
        <v>0</v>
      </c>
    </row>
    <row r="298">
      <c r="A298" s="12" t="s">
        <v>107</v>
      </c>
      <c r="B298" s="20"/>
      <c r="C298" s="20"/>
      <c r="D298" s="19"/>
      <c r="E298" s="19"/>
      <c r="F298" s="19"/>
      <c r="G298" s="19"/>
      <c r="L298" s="27" t="str">
        <f>IFERROR(__xludf.DUMMYFUNCTION("""COMPUTED_VALUE"""),"Security")</f>
        <v>Security</v>
      </c>
      <c r="M298" s="27"/>
      <c r="N298" s="25">
        <f t="shared" si="3"/>
        <v>0</v>
      </c>
    </row>
    <row r="299">
      <c r="A299" s="12" t="s">
        <v>42</v>
      </c>
      <c r="B299" s="20"/>
      <c r="C299" s="20"/>
      <c r="D299" s="19"/>
      <c r="E299" s="19"/>
      <c r="F299" s="19"/>
      <c r="G299" s="19"/>
      <c r="L299" s="27" t="str">
        <f>IFERROR(__xludf.DUMMYFUNCTION("""COMPUTED_VALUE"""),"Compatibility")</f>
        <v>Compatibility</v>
      </c>
      <c r="M299" s="27"/>
      <c r="N299" s="25">
        <f t="shared" si="3"/>
        <v>0</v>
      </c>
    </row>
    <row r="300">
      <c r="A300" s="12" t="s">
        <v>42</v>
      </c>
      <c r="B300" s="20"/>
      <c r="C300" s="20"/>
      <c r="D300" s="19"/>
      <c r="E300" s="19"/>
      <c r="F300" s="19"/>
      <c r="G300" s="19"/>
      <c r="L300" s="27" t="str">
        <f>IFERROR(__xludf.DUMMYFUNCTION("""COMPUTED_VALUE"""),"_multiple")</f>
        <v>_multiple</v>
      </c>
      <c r="M300" s="27"/>
      <c r="N300" s="25">
        <f t="shared" si="3"/>
        <v>0</v>
      </c>
    </row>
    <row r="301">
      <c r="A301" s="12" t="s">
        <v>107</v>
      </c>
      <c r="B301" s="20"/>
      <c r="C301" s="20"/>
      <c r="D301" s="19"/>
      <c r="E301" s="19"/>
      <c r="F301" s="19"/>
      <c r="G301" s="19"/>
      <c r="L301" s="27" t="str">
        <f>IFERROR(__xludf.DUMMYFUNCTION("""COMPUTED_VALUE"""),"Positive")</f>
        <v>Positive</v>
      </c>
      <c r="M301" s="27"/>
      <c r="N301" s="25">
        <f t="shared" si="3"/>
        <v>0</v>
      </c>
    </row>
    <row r="302">
      <c r="A302" s="12" t="s">
        <v>125</v>
      </c>
      <c r="B302" s="28"/>
      <c r="C302" s="28"/>
      <c r="D302" s="30"/>
      <c r="E302" s="30"/>
      <c r="F302" s="30"/>
      <c r="G302" s="30"/>
      <c r="H302" s="12"/>
      <c r="I302" s="12"/>
      <c r="J302" s="12"/>
      <c r="K302" s="12"/>
      <c r="L302" s="12" t="str">
        <f>IFERROR(__xludf.DUMMYFUNCTION("""COMPUTED_VALUE"""),"Negative")</f>
        <v>Negative</v>
      </c>
      <c r="M302" s="12"/>
      <c r="N302" s="25">
        <f t="shared" si="3"/>
        <v>0</v>
      </c>
    </row>
    <row r="303">
      <c r="A303" s="12" t="s">
        <v>294</v>
      </c>
      <c r="B303" s="20"/>
      <c r="C303" s="20"/>
      <c r="D303" s="19"/>
      <c r="E303" s="19"/>
      <c r="F303" s="19"/>
      <c r="G303" s="19"/>
      <c r="L303" s="27" t="str">
        <f>IFERROR(__xludf.DUMMYFUNCTION("""COMPUTED_VALUE"""),"Positive")</f>
        <v>Positive</v>
      </c>
      <c r="M303" s="27"/>
      <c r="N303" s="25">
        <f t="shared" si="3"/>
        <v>0</v>
      </c>
    </row>
    <row r="304">
      <c r="A304" s="12" t="s">
        <v>567</v>
      </c>
      <c r="B304" s="20"/>
      <c r="C304" s="20"/>
      <c r="D304" s="19"/>
      <c r="E304" s="19"/>
      <c r="F304" s="19"/>
      <c r="G304" s="19"/>
      <c r="L304" s="27" t="str">
        <f>IFERROR(__xludf.DUMMYFUNCTION("""COMPUTED_VALUE"""),"Negative")</f>
        <v>Negative</v>
      </c>
      <c r="M304" s="27"/>
      <c r="N304" s="25">
        <f t="shared" si="3"/>
        <v>0</v>
      </c>
    </row>
    <row r="305">
      <c r="A305" s="12" t="s">
        <v>125</v>
      </c>
      <c r="B305" s="20"/>
      <c r="C305" s="20"/>
      <c r="D305" s="19"/>
      <c r="E305" s="19"/>
      <c r="F305" s="19"/>
      <c r="G305" s="19"/>
      <c r="L305" s="27" t="str">
        <f>IFERROR(__xludf.DUMMYFUNCTION("""COMPUTED_VALUE"""),"Anger")</f>
        <v>Anger</v>
      </c>
      <c r="M305" s="27"/>
      <c r="N305" s="25">
        <f t="shared" si="3"/>
        <v>0</v>
      </c>
    </row>
    <row r="306">
      <c r="A306" s="12" t="s">
        <v>27</v>
      </c>
      <c r="B306" s="20"/>
      <c r="C306" s="20"/>
      <c r="D306" s="19"/>
      <c r="E306" s="19"/>
      <c r="F306" s="19"/>
      <c r="G306" s="19"/>
      <c r="L306" s="27" t="str">
        <f>IFERROR(__xludf.DUMMYFUNCTION("""COMPUTED_VALUE"""),"Confusion")</f>
        <v>Confusion</v>
      </c>
      <c r="M306" s="27"/>
      <c r="N306" s="25">
        <f t="shared" si="3"/>
        <v>0</v>
      </c>
    </row>
    <row r="307">
      <c r="A307" s="12" t="s">
        <v>173</v>
      </c>
      <c r="B307" s="20"/>
      <c r="C307" s="20"/>
      <c r="D307" s="19"/>
      <c r="E307" s="19"/>
      <c r="F307" s="19"/>
      <c r="G307" s="19"/>
      <c r="L307" s="27" t="str">
        <f>IFERROR(__xludf.DUMMYFUNCTION("""COMPUTED_VALUE"""),"Disgust")</f>
        <v>Disgust</v>
      </c>
      <c r="M307" s="27"/>
      <c r="N307" s="25">
        <f t="shared" si="3"/>
        <v>0</v>
      </c>
    </row>
    <row r="308">
      <c r="A308" s="12" t="s">
        <v>506</v>
      </c>
      <c r="B308" s="20"/>
      <c r="C308" s="20"/>
      <c r="D308" s="19"/>
      <c r="E308" s="19"/>
      <c r="F308" s="19"/>
      <c r="G308" s="19"/>
      <c r="L308" s="27" t="str">
        <f>IFERROR(__xludf.DUMMYFUNCTION("""COMPUTED_VALUE"""),"Distrust")</f>
        <v>Distrust</v>
      </c>
      <c r="M308" s="27"/>
      <c r="N308" s="25">
        <f t="shared" si="3"/>
        <v>0</v>
      </c>
    </row>
    <row r="309">
      <c r="A309" s="12" t="s">
        <v>107</v>
      </c>
      <c r="B309" s="28"/>
      <c r="C309" s="20"/>
      <c r="D309" s="19"/>
      <c r="E309" s="19"/>
      <c r="F309" s="19"/>
      <c r="G309" s="19"/>
      <c r="L309" s="27" t="str">
        <f>IFERROR(__xludf.DUMMYFUNCTION("""COMPUTED_VALUE"""),"Disappointment")</f>
        <v>Disappointment</v>
      </c>
      <c r="M309" s="27"/>
      <c r="N309" s="25">
        <f t="shared" si="3"/>
        <v>0</v>
      </c>
    </row>
    <row r="310">
      <c r="A310" s="12" t="s">
        <v>107</v>
      </c>
      <c r="B310" s="28"/>
      <c r="C310" s="20"/>
      <c r="D310" s="19"/>
      <c r="E310" s="19"/>
      <c r="F310" s="19"/>
      <c r="G310" s="19"/>
      <c r="L310" s="27" t="str">
        <f>IFERROR(__xludf.DUMMYFUNCTION("""COMPUTED_VALUE"""),"Fear")</f>
        <v>Fear</v>
      </c>
      <c r="M310" s="27"/>
      <c r="N310" s="25">
        <f t="shared" si="3"/>
        <v>0</v>
      </c>
    </row>
    <row r="311">
      <c r="A311" s="12" t="s">
        <v>294</v>
      </c>
      <c r="B311" s="28"/>
      <c r="C311" s="20"/>
      <c r="D311" s="19"/>
      <c r="E311" s="19"/>
      <c r="F311" s="19"/>
      <c r="G311" s="19"/>
      <c r="L311" s="27" t="str">
        <f>IFERROR(__xludf.DUMMYFUNCTION("""COMPUTED_VALUE"""),"Frustration")</f>
        <v>Frustration</v>
      </c>
      <c r="M311" s="27"/>
      <c r="N311" s="25">
        <f t="shared" si="3"/>
        <v>0</v>
      </c>
    </row>
    <row r="312">
      <c r="A312" s="12" t="s">
        <v>294</v>
      </c>
      <c r="B312" s="28"/>
      <c r="C312" s="20"/>
      <c r="D312" s="19"/>
      <c r="E312" s="19"/>
      <c r="F312" s="19"/>
      <c r="G312" s="19"/>
      <c r="L312" s="27" t="str">
        <f>IFERROR(__xludf.DUMMYFUNCTION("""COMPUTED_VALUE"""),"Sadness")</f>
        <v>Sadness</v>
      </c>
      <c r="M312" s="27"/>
      <c r="N312" s="25">
        <f t="shared" si="3"/>
        <v>0</v>
      </c>
    </row>
    <row r="313">
      <c r="A313" s="12" t="s">
        <v>107</v>
      </c>
      <c r="B313" s="28"/>
      <c r="C313" s="20"/>
      <c r="D313" s="19"/>
      <c r="E313" s="19"/>
      <c r="F313" s="19"/>
      <c r="G313" s="19"/>
      <c r="L313" s="27" t="str">
        <f>IFERROR(__xludf.DUMMYFUNCTION("""COMPUTED_VALUE"""),"Uniqueness")</f>
        <v>Uniqueness</v>
      </c>
      <c r="M313" s="27"/>
      <c r="N313" s="25">
        <f t="shared" si="3"/>
        <v>0</v>
      </c>
    </row>
    <row r="314">
      <c r="A314" s="12" t="s">
        <v>294</v>
      </c>
      <c r="B314" s="20"/>
      <c r="C314" s="20"/>
      <c r="D314" s="19"/>
      <c r="E314" s="19"/>
      <c r="F314" s="19"/>
      <c r="G314" s="19"/>
      <c r="L314" s="27" t="str">
        <f>IFERROR(__xludf.DUMMYFUNCTION("""COMPUTED_VALUE"""),"Conciseness")</f>
        <v>Conciseness</v>
      </c>
      <c r="M314" s="27"/>
      <c r="N314" s="25">
        <f t="shared" si="3"/>
        <v>0</v>
      </c>
    </row>
    <row r="315">
      <c r="A315" s="12" t="s">
        <v>505</v>
      </c>
      <c r="B315" s="20"/>
      <c r="C315" s="20"/>
      <c r="D315" s="19"/>
      <c r="E315" s="19"/>
      <c r="F315" s="19"/>
      <c r="G315" s="19"/>
      <c r="L315" s="27" t="str">
        <f>IFERROR(__xludf.DUMMYFUNCTION("""COMPUTED_VALUE"""),"Verifiability")</f>
        <v>Verifiability</v>
      </c>
      <c r="M315" s="27"/>
      <c r="N315" s="25">
        <f t="shared" si="3"/>
        <v>0</v>
      </c>
    </row>
    <row r="316">
      <c r="A316" s="12" t="s">
        <v>294</v>
      </c>
      <c r="B316" s="20"/>
      <c r="C316" s="20"/>
      <c r="D316" s="19"/>
      <c r="E316" s="19"/>
      <c r="F316" s="19"/>
      <c r="G316" s="19"/>
      <c r="L316" s="27" t="str">
        <f>IFERROR(__xludf.DUMMYFUNCTION("""COMPUTED_VALUE"""),"Feasibility")</f>
        <v>Feasibility</v>
      </c>
      <c r="M316" s="27"/>
      <c r="N316" s="25">
        <f t="shared" si="3"/>
        <v>0</v>
      </c>
    </row>
    <row r="317">
      <c r="A317" s="12" t="s">
        <v>294</v>
      </c>
      <c r="B317" s="20"/>
      <c r="C317" s="20"/>
      <c r="D317" s="19"/>
      <c r="E317" s="19"/>
      <c r="F317" s="19"/>
      <c r="G317" s="19"/>
      <c r="L317" s="27" t="str">
        <f>IFERROR(__xludf.DUMMYFUNCTION("""COMPUTED_VALUE"""),"Avoidance of passive voice")</f>
        <v>Avoidance of passive voice</v>
      </c>
      <c r="M317" s="27"/>
      <c r="N317" s="25">
        <f t="shared" si="3"/>
        <v>0</v>
      </c>
    </row>
    <row r="318">
      <c r="A318" s="12" t="s">
        <v>294</v>
      </c>
      <c r="B318" s="20"/>
      <c r="C318" s="20"/>
      <c r="D318" s="19"/>
      <c r="E318" s="19"/>
      <c r="F318" s="19"/>
      <c r="G318" s="19"/>
      <c r="L318" s="27" t="str">
        <f>IFERROR(__xludf.DUMMYFUNCTION("""COMPUTED_VALUE"""),"Adherence to paradigms")</f>
        <v>Adherence to paradigms</v>
      </c>
      <c r="M318" s="27"/>
      <c r="N318" s="25">
        <f t="shared" si="3"/>
        <v>0</v>
      </c>
    </row>
    <row r="319">
      <c r="A319" s="12" t="s">
        <v>107</v>
      </c>
      <c r="B319" s="20"/>
      <c r="C319" s="20"/>
      <c r="D319" s="19"/>
      <c r="E319" s="19"/>
      <c r="F319" s="19"/>
      <c r="G319" s="19"/>
      <c r="L319" s="27" t="str">
        <f>IFERROR(__xludf.DUMMYFUNCTION("""COMPUTED_VALUE"""),"Prohibition of symbols")</f>
        <v>Prohibition of symbols</v>
      </c>
      <c r="M319" s="27"/>
      <c r="N319" s="25">
        <f t="shared" si="3"/>
        <v>0</v>
      </c>
    </row>
    <row r="320">
      <c r="A320" s="12" t="s">
        <v>107</v>
      </c>
      <c r="B320" s="20"/>
      <c r="C320" s="20"/>
      <c r="D320" s="19"/>
      <c r="E320" s="19"/>
      <c r="F320" s="19"/>
      <c r="G320" s="19"/>
      <c r="L320" s="27" t="str">
        <f>IFERROR(__xludf.DUMMYFUNCTION("""COMPUTED_VALUE"""),"Prohibition of pronouns")</f>
        <v>Prohibition of pronouns</v>
      </c>
      <c r="M320" s="27"/>
      <c r="N320" s="25">
        <f t="shared" si="3"/>
        <v>0</v>
      </c>
    </row>
    <row r="321">
      <c r="A321" s="12" t="s">
        <v>125</v>
      </c>
      <c r="B321" s="28"/>
      <c r="C321" s="28"/>
      <c r="D321" s="30"/>
      <c r="E321" s="30"/>
      <c r="F321" s="30"/>
      <c r="G321" s="30"/>
      <c r="H321" s="12"/>
      <c r="I321" s="12"/>
      <c r="J321" s="12"/>
      <c r="K321" s="12"/>
      <c r="L321" s="27" t="str">
        <f>IFERROR(__xludf.DUMMYFUNCTION("""COMPUTED_VALUE"""),"Obligation")</f>
        <v>Obligation</v>
      </c>
      <c r="M321" s="27"/>
      <c r="N321" s="25">
        <f t="shared" si="3"/>
        <v>0</v>
      </c>
    </row>
    <row r="322">
      <c r="A322" s="12" t="s">
        <v>125</v>
      </c>
      <c r="B322" s="28"/>
      <c r="C322" s="28"/>
      <c r="D322" s="30"/>
      <c r="E322" s="30"/>
      <c r="F322" s="30"/>
      <c r="G322" s="30"/>
      <c r="H322" s="12"/>
      <c r="I322" s="12"/>
      <c r="J322" s="12"/>
      <c r="K322" s="12"/>
      <c r="L322" s="27" t="str">
        <f>IFERROR(__xludf.DUMMYFUNCTION("""COMPUTED_VALUE"""),"Entitlement")</f>
        <v>Entitlement</v>
      </c>
      <c r="M322" s="27"/>
      <c r="N322" s="25">
        <f t="shared" si="3"/>
        <v>0</v>
      </c>
    </row>
    <row r="323">
      <c r="A323" s="12" t="s">
        <v>125</v>
      </c>
      <c r="B323" s="28"/>
      <c r="C323" s="28"/>
      <c r="D323" s="30"/>
      <c r="E323" s="30"/>
      <c r="F323" s="30"/>
      <c r="G323" s="30"/>
      <c r="H323" s="12"/>
      <c r="I323" s="12"/>
      <c r="J323" s="12"/>
      <c r="K323" s="12"/>
      <c r="L323" s="27" t="str">
        <f>IFERROR(__xludf.DUMMYFUNCTION("""COMPUTED_VALUE"""),"Prohibition")</f>
        <v>Prohibition</v>
      </c>
      <c r="M323" s="27"/>
      <c r="N323" s="25">
        <f t="shared" si="3"/>
        <v>0</v>
      </c>
    </row>
    <row r="324">
      <c r="A324" s="12" t="s">
        <v>504</v>
      </c>
      <c r="B324" s="28"/>
      <c r="C324" s="28"/>
      <c r="D324" s="30"/>
      <c r="E324" s="30"/>
      <c r="F324" s="30"/>
      <c r="G324" s="30"/>
      <c r="H324" s="12"/>
      <c r="I324" s="12"/>
      <c r="J324" s="12"/>
      <c r="K324" s="12"/>
      <c r="L324" s="27" t="str">
        <f>IFERROR(__xludf.DUMMYFUNCTION("""COMPUTED_VALUE"""),"Permission")</f>
        <v>Permission</v>
      </c>
      <c r="M324" s="27"/>
      <c r="N324" s="25">
        <f t="shared" si="3"/>
        <v>0</v>
      </c>
    </row>
    <row r="325">
      <c r="A325" s="12" t="s">
        <v>504</v>
      </c>
      <c r="B325" s="28"/>
      <c r="C325" s="28"/>
      <c r="D325" s="30"/>
      <c r="E325" s="30"/>
      <c r="F325" s="30"/>
      <c r="G325" s="30"/>
      <c r="H325" s="12"/>
      <c r="I325" s="12"/>
      <c r="J325" s="12"/>
      <c r="K325" s="12"/>
      <c r="L325" s="27" t="str">
        <f>IFERROR(__xludf.DUMMYFUNCTION("""COMPUTED_VALUE"""),"No obligation")</f>
        <v>No obligation</v>
      </c>
      <c r="M325" s="27"/>
      <c r="N325" s="25">
        <f t="shared" si="3"/>
        <v>0</v>
      </c>
    </row>
    <row r="326">
      <c r="A326" s="12" t="s">
        <v>506</v>
      </c>
      <c r="B326" s="20"/>
      <c r="C326" s="20"/>
      <c r="D326" s="19"/>
      <c r="E326" s="19"/>
      <c r="F326" s="19"/>
      <c r="G326" s="19"/>
      <c r="L326" s="27" t="str">
        <f>IFERROR(__xludf.DUMMYFUNCTION("""COMPUTED_VALUE"""),"No entitlement")</f>
        <v>No entitlement</v>
      </c>
      <c r="M326" s="27"/>
      <c r="N326" s="25">
        <f t="shared" si="3"/>
        <v>0</v>
      </c>
    </row>
    <row r="327">
      <c r="A327" s="12" t="s">
        <v>505</v>
      </c>
      <c r="B327" s="20"/>
      <c r="C327" s="20"/>
      <c r="D327" s="19"/>
      <c r="E327" s="19"/>
      <c r="F327" s="19"/>
      <c r="G327" s="19"/>
      <c r="L327" s="27" t="str">
        <f>IFERROR(__xludf.DUMMYFUNCTION("""COMPUTED_VALUE"""),"Consistent")</f>
        <v>Consistent</v>
      </c>
      <c r="M327" s="27"/>
      <c r="N327" s="25">
        <f t="shared" si="3"/>
        <v>0</v>
      </c>
    </row>
    <row r="328">
      <c r="A328" s="12" t="s">
        <v>504</v>
      </c>
      <c r="B328" s="20"/>
      <c r="C328" s="20"/>
      <c r="D328" s="19"/>
      <c r="E328" s="19"/>
      <c r="F328" s="19"/>
      <c r="G328" s="19"/>
      <c r="L328" s="27" t="str">
        <f>IFERROR(__xludf.DUMMYFUNCTION("""COMPUTED_VALUE"""),"Inconsistent")</f>
        <v>Inconsistent</v>
      </c>
      <c r="M328" s="27"/>
      <c r="N328" s="25">
        <f t="shared" si="3"/>
        <v>0</v>
      </c>
    </row>
    <row r="329">
      <c r="A329" s="12" t="s">
        <v>507</v>
      </c>
      <c r="B329" s="20"/>
      <c r="C329" s="20"/>
      <c r="D329" s="19"/>
      <c r="E329" s="19"/>
      <c r="F329" s="19"/>
      <c r="G329" s="19"/>
      <c r="L329" s="27" t="str">
        <f>IFERROR(__xludf.DUMMYFUNCTION("""COMPUTED_VALUE"""),"Subject")</f>
        <v>Subject</v>
      </c>
      <c r="M329" s="27"/>
      <c r="N329" s="25">
        <f t="shared" si="3"/>
        <v>0</v>
      </c>
    </row>
    <row r="330">
      <c r="A330" s="12" t="s">
        <v>516</v>
      </c>
      <c r="B330" s="20"/>
      <c r="C330" s="20"/>
      <c r="D330" s="19"/>
      <c r="E330" s="19"/>
      <c r="F330" s="19"/>
      <c r="G330" s="19"/>
      <c r="L330" s="27" t="str">
        <f>IFERROR(__xludf.DUMMYFUNCTION("""COMPUTED_VALUE"""),"Attribute")</f>
        <v>Attribute</v>
      </c>
      <c r="M330" s="27"/>
      <c r="N330" s="25">
        <f t="shared" si="3"/>
        <v>0</v>
      </c>
    </row>
    <row r="331">
      <c r="A331" s="12" t="s">
        <v>517</v>
      </c>
      <c r="B331" s="20"/>
      <c r="C331" s="20"/>
      <c r="D331" s="19"/>
      <c r="E331" s="19"/>
      <c r="F331" s="19"/>
      <c r="G331" s="19"/>
      <c r="L331" s="27" t="str">
        <f>IFERROR(__xludf.DUMMYFUNCTION("""COMPUTED_VALUE"""),"Objec")</f>
        <v>Objec</v>
      </c>
      <c r="M331" s="27"/>
      <c r="N331" s="25">
        <f t="shared" si="3"/>
        <v>0</v>
      </c>
    </row>
    <row r="332">
      <c r="A332" s="12" t="s">
        <v>173</v>
      </c>
      <c r="B332" s="20"/>
      <c r="C332" s="20"/>
      <c r="D332" s="19"/>
      <c r="E332" s="19"/>
      <c r="F332" s="19"/>
      <c r="G332" s="19"/>
      <c r="L332" s="27" t="str">
        <f>IFERROR(__xludf.DUMMYFUNCTION("""COMPUTED_VALUE"""),"Action")</f>
        <v>Action</v>
      </c>
      <c r="M332" s="27"/>
      <c r="N332" s="25">
        <f t="shared" si="3"/>
        <v>0</v>
      </c>
    </row>
    <row r="333">
      <c r="A333" s="12" t="s">
        <v>506</v>
      </c>
      <c r="B333" s="20"/>
      <c r="C333" s="20"/>
      <c r="D333" s="19"/>
      <c r="E333" s="19"/>
      <c r="F333" s="19"/>
      <c r="G333" s="19"/>
      <c r="L333" s="27" t="str">
        <f>IFERROR(__xludf.DUMMYFUNCTION("""COMPUTED_VALUE"""),"Function")</f>
        <v>Function</v>
      </c>
      <c r="M333" s="27"/>
      <c r="N333" s="25">
        <f t="shared" si="3"/>
        <v>0</v>
      </c>
    </row>
    <row r="334">
      <c r="A334" s="12" t="s">
        <v>505</v>
      </c>
      <c r="B334" s="20"/>
      <c r="C334" s="20"/>
      <c r="D334" s="19"/>
      <c r="E334" s="19"/>
      <c r="F334" s="19"/>
      <c r="G334" s="19"/>
      <c r="L334" s="27" t="str">
        <f>IFERROR(__xludf.DUMMYFUNCTION("""COMPUTED_VALUE"""),"Value")</f>
        <v>Value</v>
      </c>
      <c r="M334" s="27"/>
      <c r="N334" s="25">
        <f t="shared" si="3"/>
        <v>0</v>
      </c>
    </row>
    <row r="335">
      <c r="A335" s="12" t="s">
        <v>504</v>
      </c>
      <c r="B335" s="20"/>
      <c r="C335" s="20"/>
      <c r="D335" s="19"/>
      <c r="E335" s="19"/>
      <c r="F335" s="19"/>
      <c r="G335" s="19"/>
      <c r="L335" s="27" t="str">
        <f>IFERROR(__xludf.DUMMYFUNCTION("""COMPUTED_VALUE"""),"Principle")</f>
        <v>Principle</v>
      </c>
      <c r="M335" s="27"/>
      <c r="N335" s="25">
        <f t="shared" si="3"/>
        <v>0</v>
      </c>
    </row>
    <row r="336">
      <c r="A336" s="12" t="s">
        <v>507</v>
      </c>
      <c r="B336" s="20"/>
      <c r="C336" s="20"/>
      <c r="D336" s="19"/>
      <c r="E336" s="19"/>
      <c r="F336" s="19"/>
      <c r="G336" s="19"/>
      <c r="L336" s="27" t="str">
        <f>IFERROR(__xludf.DUMMYFUNCTION("""COMPUTED_VALUE"""),"Condition")</f>
        <v>Condition</v>
      </c>
      <c r="M336" s="27"/>
      <c r="N336" s="25">
        <f t="shared" si="3"/>
        <v>0</v>
      </c>
    </row>
    <row r="337">
      <c r="A337" s="12" t="s">
        <v>516</v>
      </c>
      <c r="B337" s="20"/>
      <c r="C337" s="20"/>
      <c r="D337" s="19"/>
      <c r="E337" s="19"/>
      <c r="F337" s="19"/>
      <c r="G337" s="19"/>
      <c r="L337" s="27" t="str">
        <f>IFERROR(__xludf.DUMMYFUNCTION("""COMPUTED_VALUE"""),"Outside")</f>
        <v>Outside</v>
      </c>
      <c r="M337" s="27"/>
      <c r="N337" s="25">
        <f t="shared" si="3"/>
        <v>0</v>
      </c>
    </row>
    <row r="338">
      <c r="A338" s="12" t="s">
        <v>517</v>
      </c>
      <c r="B338" s="20"/>
      <c r="C338" s="20"/>
      <c r="D338" s="19"/>
      <c r="E338" s="19"/>
      <c r="F338" s="19"/>
      <c r="G338" s="19"/>
      <c r="L338" s="27" t="str">
        <f>IFERROR(__xludf.DUMMYFUNCTION("""COMPUTED_VALUE"""),"Functional requirements")</f>
        <v>Functional requirements</v>
      </c>
      <c r="M338" s="27"/>
      <c r="N338" s="25">
        <f t="shared" si="3"/>
        <v>0</v>
      </c>
    </row>
    <row r="339">
      <c r="A339" s="12" t="s">
        <v>173</v>
      </c>
      <c r="B339" s="20"/>
      <c r="C339" s="20"/>
      <c r="D339" s="19"/>
      <c r="E339" s="19"/>
      <c r="F339" s="19"/>
      <c r="G339" s="19"/>
      <c r="L339" s="27" t="str">
        <f>IFERROR(__xludf.DUMMYFUNCTION("""COMPUTED_VALUE"""),"Interface requirements")</f>
        <v>Interface requirements</v>
      </c>
      <c r="M339" s="27"/>
      <c r="N339" s="25">
        <f t="shared" si="3"/>
        <v>0</v>
      </c>
    </row>
    <row r="340">
      <c r="A340" s="12" t="s">
        <v>506</v>
      </c>
      <c r="B340" s="20"/>
      <c r="C340" s="20"/>
      <c r="D340" s="19"/>
      <c r="E340" s="19"/>
      <c r="F340" s="19"/>
      <c r="G340" s="19"/>
      <c r="L340" s="27" t="str">
        <f>IFERROR(__xludf.DUMMYFUNCTION("""COMPUTED_VALUE"""),"Performance requirements")</f>
        <v>Performance requirements</v>
      </c>
      <c r="M340" s="27"/>
      <c r="N340" s="25">
        <f t="shared" si="3"/>
        <v>0</v>
      </c>
    </row>
    <row r="341">
      <c r="A341" s="12" t="s">
        <v>505</v>
      </c>
      <c r="B341" s="20"/>
      <c r="C341" s="20"/>
      <c r="D341" s="19"/>
      <c r="E341" s="19"/>
      <c r="F341" s="19"/>
      <c r="G341" s="19"/>
      <c r="L341" s="27" t="str">
        <f>IFERROR(__xludf.DUMMYFUNCTION("""COMPUTED_VALUE"""),"Physical requirements")</f>
        <v>Physical requirements</v>
      </c>
      <c r="M341" s="27"/>
      <c r="N341" s="25">
        <f t="shared" si="3"/>
        <v>0</v>
      </c>
    </row>
    <row r="342">
      <c r="A342" s="12" t="s">
        <v>504</v>
      </c>
      <c r="B342" s="20"/>
      <c r="C342" s="20"/>
      <c r="D342" s="19"/>
      <c r="E342" s="19"/>
      <c r="F342" s="19"/>
      <c r="G342" s="19"/>
      <c r="L342" s="27" t="str">
        <f>IFERROR(__xludf.DUMMYFUNCTION("""COMPUTED_VALUE"""),"Design constraints")</f>
        <v>Design constraints</v>
      </c>
      <c r="M342" s="27"/>
      <c r="N342" s="25">
        <f t="shared" si="3"/>
        <v>0</v>
      </c>
    </row>
    <row r="343">
      <c r="A343" s="12" t="s">
        <v>507</v>
      </c>
      <c r="B343" s="20"/>
      <c r="C343" s="20"/>
      <c r="D343" s="19"/>
      <c r="E343" s="19"/>
      <c r="F343" s="19"/>
      <c r="G343" s="19"/>
      <c r="L343" s="27" t="str">
        <f>IFERROR(__xludf.DUMMYFUNCTION("""COMPUTED_VALUE"""),"Positive")</f>
        <v>Positive</v>
      </c>
      <c r="M343" s="27"/>
      <c r="N343" s="25">
        <f t="shared" si="3"/>
        <v>0</v>
      </c>
    </row>
    <row r="344">
      <c r="A344" s="12" t="s">
        <v>516</v>
      </c>
      <c r="B344" s="28"/>
      <c r="C344" s="28"/>
      <c r="D344" s="19"/>
      <c r="E344" s="19"/>
      <c r="F344" s="19"/>
      <c r="G344" s="19"/>
      <c r="L344" s="27" t="str">
        <f>IFERROR(__xludf.DUMMYFUNCTION("""COMPUTED_VALUE"""),"Negative")</f>
        <v>Negative</v>
      </c>
      <c r="M344" s="27"/>
      <c r="N344" s="25">
        <f t="shared" si="3"/>
        <v>0</v>
      </c>
    </row>
    <row r="345">
      <c r="A345" s="12" t="s">
        <v>517</v>
      </c>
      <c r="B345" s="28"/>
      <c r="C345" s="28"/>
      <c r="D345" s="19"/>
      <c r="E345" s="19"/>
      <c r="F345" s="19"/>
      <c r="G345" s="19"/>
      <c r="L345" s="27" t="str">
        <f>IFERROR(__xludf.DUMMYFUNCTION("""COMPUTED_VALUE"""),"B-feature")</f>
        <v>B-feature</v>
      </c>
      <c r="M345" s="27"/>
      <c r="N345" s="25">
        <f t="shared" si="3"/>
        <v>0</v>
      </c>
    </row>
    <row r="346">
      <c r="A346" s="12" t="s">
        <v>173</v>
      </c>
      <c r="B346" s="28"/>
      <c r="C346" s="28"/>
      <c r="D346" s="19"/>
      <c r="E346" s="19"/>
      <c r="F346" s="19"/>
      <c r="G346" s="19"/>
      <c r="L346" s="27" t="str">
        <f>IFERROR(__xludf.DUMMYFUNCTION("""COMPUTED_VALUE"""),"I-feature")</f>
        <v>I-feature</v>
      </c>
      <c r="M346" s="27"/>
      <c r="N346" s="25">
        <f t="shared" si="3"/>
        <v>0</v>
      </c>
    </row>
    <row r="347">
      <c r="A347" s="12" t="s">
        <v>294</v>
      </c>
      <c r="B347" s="20"/>
      <c r="C347" s="20"/>
      <c r="D347" s="19"/>
      <c r="E347" s="19"/>
      <c r="F347" s="19"/>
      <c r="G347" s="19"/>
      <c r="L347" s="27" t="str">
        <f>IFERROR(__xludf.DUMMYFUNCTION("""COMPUTED_VALUE"""),"O")</f>
        <v>O</v>
      </c>
      <c r="M347" s="27"/>
      <c r="N347" s="25">
        <f t="shared" si="3"/>
        <v>0</v>
      </c>
    </row>
    <row r="348">
      <c r="A348" s="12" t="s">
        <v>505</v>
      </c>
      <c r="B348" s="20"/>
      <c r="C348" s="20"/>
      <c r="D348" s="19"/>
      <c r="E348" s="19"/>
      <c r="F348" s="19"/>
      <c r="G348" s="19"/>
      <c r="L348" s="27" t="str">
        <f>IFERROR(__xludf.DUMMYFUNCTION("""COMPUTED_VALUE"""),"Neutral")</f>
        <v>Neutral</v>
      </c>
      <c r="M348" s="27"/>
      <c r="N348" s="25">
        <f t="shared" si="3"/>
        <v>0</v>
      </c>
    </row>
    <row r="349">
      <c r="A349" s="12" t="s">
        <v>52</v>
      </c>
      <c r="B349" s="20"/>
      <c r="C349" s="20"/>
      <c r="D349" s="19"/>
      <c r="E349" s="19"/>
      <c r="F349" s="19"/>
      <c r="G349" s="19"/>
      <c r="L349" s="27" t="str">
        <f>IFERROR(__xludf.DUMMYFUNCTION("""COMPUTED_VALUE"""),"Conflict")</f>
        <v>Conflict</v>
      </c>
      <c r="M349" s="27"/>
      <c r="N349" s="25">
        <f t="shared" si="3"/>
        <v>0</v>
      </c>
    </row>
    <row r="350">
      <c r="A350" s="12" t="s">
        <v>545</v>
      </c>
      <c r="B350" s="20"/>
      <c r="C350" s="20"/>
      <c r="D350" s="19"/>
      <c r="E350" s="19"/>
      <c r="F350" s="19"/>
      <c r="G350" s="19"/>
      <c r="L350" s="27" t="str">
        <f>IFERROR(__xludf.DUMMYFUNCTION("""COMPUTED_VALUE"""),"Privacy review")</f>
        <v>Privacy review</v>
      </c>
      <c r="M350" s="27"/>
      <c r="N350" s="25">
        <f t="shared" si="3"/>
        <v>0</v>
      </c>
    </row>
    <row r="351">
      <c r="A351" s="12" t="s">
        <v>294</v>
      </c>
      <c r="B351" s="20"/>
      <c r="C351" s="20"/>
      <c r="D351" s="19"/>
      <c r="E351" s="19"/>
      <c r="F351" s="19"/>
      <c r="G351" s="19"/>
      <c r="L351" s="27" t="str">
        <f>IFERROR(__xludf.DUMMYFUNCTION("""COMPUTED_VALUE"""),"Privacy-irrelevant review")</f>
        <v>Privacy-irrelevant review</v>
      </c>
      <c r="M351" s="27"/>
      <c r="N351" s="25">
        <f t="shared" si="3"/>
        <v>0</v>
      </c>
    </row>
    <row r="352">
      <c r="A352" s="12" t="s">
        <v>505</v>
      </c>
      <c r="B352" s="20"/>
      <c r="C352" s="20"/>
      <c r="D352" s="19"/>
      <c r="E352" s="19"/>
      <c r="F352" s="19"/>
      <c r="G352" s="19"/>
      <c r="L352" s="27" t="str">
        <f>IFERROR(__xludf.DUMMYFUNCTION("""COMPUTED_VALUE"""),"O")</f>
        <v>O</v>
      </c>
      <c r="M352" s="27"/>
      <c r="N352" s="25">
        <f t="shared" si="3"/>
        <v>0</v>
      </c>
    </row>
    <row r="353">
      <c r="A353" s="12" t="s">
        <v>52</v>
      </c>
      <c r="B353" s="20"/>
      <c r="C353" s="20"/>
      <c r="D353" s="19"/>
      <c r="E353" s="19"/>
      <c r="F353" s="19"/>
      <c r="G353" s="19"/>
      <c r="L353" s="27" t="str">
        <f>IFERROR(__xludf.DUMMYFUNCTION("""COMPUTED_VALUE"""),"B-Actor")</f>
        <v>B-Actor</v>
      </c>
      <c r="M353" s="27"/>
      <c r="N353" s="25">
        <f t="shared" si="3"/>
        <v>0</v>
      </c>
    </row>
    <row r="354">
      <c r="A354" s="12" t="s">
        <v>545</v>
      </c>
      <c r="B354" s="20"/>
      <c r="C354" s="28"/>
      <c r="D354" s="30"/>
      <c r="E354" s="30"/>
      <c r="F354" s="30"/>
      <c r="G354" s="30"/>
      <c r="H354" s="12"/>
      <c r="I354" s="12"/>
      <c r="J354" s="12"/>
      <c r="K354" s="12"/>
      <c r="L354" s="12" t="str">
        <f>IFERROR(__xludf.DUMMYFUNCTION("""COMPUTED_VALUE"""),"I-Actor")</f>
        <v>I-Actor</v>
      </c>
      <c r="M354" s="27"/>
      <c r="N354" s="25">
        <f t="shared" si="3"/>
        <v>0</v>
      </c>
    </row>
    <row r="355">
      <c r="A355" s="12" t="s">
        <v>504</v>
      </c>
      <c r="B355" s="28"/>
      <c r="C355" s="28"/>
      <c r="D355" s="30"/>
      <c r="E355" s="30"/>
      <c r="F355" s="30"/>
      <c r="G355" s="30"/>
      <c r="H355" s="12"/>
      <c r="I355" s="12"/>
      <c r="J355" s="12"/>
      <c r="K355" s="12"/>
      <c r="L355" s="12" t="str">
        <f>IFERROR(__xludf.DUMMYFUNCTION("""COMPUTED_VALUE"""),"B-Activity")</f>
        <v>B-Activity</v>
      </c>
      <c r="M355" s="27"/>
      <c r="N355" s="25">
        <f t="shared" si="3"/>
        <v>0</v>
      </c>
    </row>
    <row r="356">
      <c r="A356" s="12" t="s">
        <v>507</v>
      </c>
      <c r="B356" s="28"/>
      <c r="C356" s="28"/>
      <c r="D356" s="30"/>
      <c r="E356" s="30"/>
      <c r="F356" s="30"/>
      <c r="G356" s="30"/>
      <c r="H356" s="12"/>
      <c r="I356" s="12"/>
      <c r="J356" s="12"/>
      <c r="K356" s="12"/>
      <c r="L356" s="12" t="str">
        <f>IFERROR(__xludf.DUMMYFUNCTION("""COMPUTED_VALUE"""),"I-Activity")</f>
        <v>I-Activity</v>
      </c>
      <c r="M356" s="27"/>
      <c r="N356" s="25">
        <f t="shared" si="3"/>
        <v>0</v>
      </c>
    </row>
    <row r="357">
      <c r="A357" s="12" t="s">
        <v>516</v>
      </c>
      <c r="B357" s="28"/>
      <c r="C357" s="28"/>
      <c r="D357" s="30"/>
      <c r="E357" s="30"/>
      <c r="F357" s="30"/>
      <c r="G357" s="30"/>
      <c r="H357" s="12"/>
      <c r="I357" s="12"/>
      <c r="J357" s="12"/>
      <c r="K357" s="12"/>
      <c r="L357" s="12" t="str">
        <f>IFERROR(__xludf.DUMMYFUNCTION("""COMPUTED_VALUE"""),"B-Activity Data")</f>
        <v>B-Activity Data</v>
      </c>
      <c r="M357" s="27"/>
      <c r="N357" s="25">
        <f t="shared" si="3"/>
        <v>0</v>
      </c>
    </row>
    <row r="358">
      <c r="A358" s="12" t="s">
        <v>517</v>
      </c>
      <c r="B358" s="28"/>
      <c r="C358" s="28"/>
      <c r="D358" s="30"/>
      <c r="E358" s="30"/>
      <c r="F358" s="30"/>
      <c r="G358" s="30"/>
      <c r="H358" s="12"/>
      <c r="I358" s="12"/>
      <c r="J358" s="12"/>
      <c r="K358" s="12"/>
      <c r="L358" s="12" t="str">
        <f>IFERROR(__xludf.DUMMYFUNCTION("""COMPUTED_VALUE"""),"I-Activity Data")</f>
        <v>I-Activity Data</v>
      </c>
      <c r="M358" s="27"/>
      <c r="N358" s="25">
        <f t="shared" si="3"/>
        <v>0</v>
      </c>
    </row>
    <row r="359">
      <c r="A359" s="12" t="s">
        <v>173</v>
      </c>
      <c r="B359" s="28"/>
      <c r="C359" s="28"/>
      <c r="D359" s="30"/>
      <c r="E359" s="30"/>
      <c r="F359" s="30"/>
      <c r="G359" s="30"/>
      <c r="H359" s="12"/>
      <c r="I359" s="12"/>
      <c r="J359" s="12"/>
      <c r="K359" s="12"/>
      <c r="L359" s="12" t="str">
        <f>IFERROR(__xludf.DUMMYFUNCTION("""COMPUTED_VALUE"""),"B-Further Specification")</f>
        <v>B-Further Specification</v>
      </c>
      <c r="M359" s="27"/>
      <c r="N359" s="25">
        <f t="shared" si="3"/>
        <v>0</v>
      </c>
    </row>
    <row r="360">
      <c r="A360" s="12" t="s">
        <v>125</v>
      </c>
      <c r="B360" s="28"/>
      <c r="C360" s="28"/>
      <c r="D360" s="30"/>
      <c r="E360" s="30"/>
      <c r="F360" s="30"/>
      <c r="G360" s="30"/>
      <c r="H360" s="12"/>
      <c r="I360" s="12"/>
      <c r="J360" s="12"/>
      <c r="K360" s="12"/>
      <c r="L360" s="12" t="str">
        <f>IFERROR(__xludf.DUMMYFUNCTION("""COMPUTED_VALUE"""),"I-Further Specification")</f>
        <v>I-Further Specification</v>
      </c>
      <c r="M360" s="27"/>
      <c r="N360" s="25">
        <f t="shared" si="3"/>
        <v>0</v>
      </c>
    </row>
    <row r="361">
      <c r="A361" s="12" t="s">
        <v>506</v>
      </c>
      <c r="B361" s="28"/>
      <c r="C361" s="28"/>
      <c r="D361" s="30"/>
      <c r="E361" s="30"/>
      <c r="F361" s="30"/>
      <c r="G361" s="30"/>
      <c r="H361" s="12"/>
      <c r="I361" s="12"/>
      <c r="J361" s="12"/>
      <c r="K361" s="12"/>
      <c r="L361" s="12" t="str">
        <f>IFERROR(__xludf.DUMMYFUNCTION("""COMPUTED_VALUE"""),"B-XOR Gateway")</f>
        <v>B-XOR Gateway</v>
      </c>
      <c r="M361" s="27"/>
      <c r="N361" s="25">
        <f t="shared" si="3"/>
        <v>0</v>
      </c>
    </row>
    <row r="362">
      <c r="A362" s="12" t="s">
        <v>505</v>
      </c>
      <c r="B362" s="28"/>
      <c r="C362" s="28"/>
      <c r="D362" s="30"/>
      <c r="E362" s="30"/>
      <c r="F362" s="30"/>
      <c r="G362" s="30"/>
      <c r="H362" s="12"/>
      <c r="I362" s="12"/>
      <c r="J362" s="12"/>
      <c r="K362" s="12"/>
      <c r="L362" s="12" t="str">
        <f>IFERROR(__xludf.DUMMYFUNCTION("""COMPUTED_VALUE"""),"I-XOR Gateway")</f>
        <v>I-XOR Gateway</v>
      </c>
      <c r="M362" s="15" t="s">
        <v>643</v>
      </c>
      <c r="N362" s="25">
        <f t="shared" si="3"/>
        <v>3</v>
      </c>
    </row>
    <row r="363">
      <c r="A363" s="12" t="s">
        <v>504</v>
      </c>
      <c r="B363" s="28"/>
      <c r="C363" s="28"/>
      <c r="D363" s="30"/>
      <c r="E363" s="30"/>
      <c r="F363" s="30"/>
      <c r="G363" s="30"/>
      <c r="H363" s="12"/>
      <c r="I363" s="12"/>
      <c r="J363" s="12"/>
      <c r="K363" s="12"/>
      <c r="L363" s="12" t="str">
        <f>IFERROR(__xludf.DUMMYFUNCTION("""COMPUTED_VALUE"""),"B-Condition Specification")</f>
        <v>B-Condition Specification</v>
      </c>
      <c r="N363" s="25">
        <f t="shared" si="3"/>
        <v>0</v>
      </c>
    </row>
    <row r="364">
      <c r="A364" s="12" t="s">
        <v>507</v>
      </c>
      <c r="B364" s="20"/>
      <c r="C364" s="20"/>
      <c r="D364" s="19"/>
      <c r="E364" s="19"/>
      <c r="F364" s="19"/>
      <c r="G364" s="19"/>
      <c r="L364" s="27" t="str">
        <f>IFERROR(__xludf.DUMMYFUNCTION("""COMPUTED_VALUE"""),"I-Condition Specification")</f>
        <v>I-Condition Specification</v>
      </c>
      <c r="N364" s="25">
        <f t="shared" si="3"/>
        <v>0</v>
      </c>
    </row>
    <row r="365">
      <c r="A365" s="12" t="s">
        <v>516</v>
      </c>
      <c r="B365" s="20"/>
      <c r="C365" s="20"/>
      <c r="D365" s="19"/>
      <c r="E365" s="19"/>
      <c r="F365" s="19"/>
      <c r="G365" s="19"/>
      <c r="L365" s="27" t="str">
        <f>IFERROR(__xludf.DUMMYFUNCTION("""COMPUTED_VALUE"""),"B-AND Gateway")</f>
        <v>B-AND Gateway</v>
      </c>
      <c r="N365" s="25">
        <f t="shared" si="3"/>
        <v>0</v>
      </c>
    </row>
    <row r="366">
      <c r="A366" s="12" t="s">
        <v>517</v>
      </c>
      <c r="B366" s="20"/>
      <c r="C366" s="20"/>
      <c r="D366" s="19"/>
      <c r="E366" s="19"/>
      <c r="F366" s="19"/>
      <c r="G366" s="19"/>
      <c r="L366" s="27" t="str">
        <f>IFERROR(__xludf.DUMMYFUNCTION("""COMPUTED_VALUE"""),"I-AND Gateway")</f>
        <v>I-AND Gateway</v>
      </c>
      <c r="N366" s="25">
        <f t="shared" si="3"/>
        <v>0</v>
      </c>
    </row>
    <row r="367">
      <c r="A367" s="12" t="s">
        <v>173</v>
      </c>
      <c r="B367" s="20"/>
      <c r="C367" s="20"/>
      <c r="D367" s="19"/>
      <c r="E367" s="19"/>
      <c r="F367" s="19"/>
      <c r="G367" s="19"/>
      <c r="L367" s="27" t="str">
        <f>IFERROR(__xludf.DUMMYFUNCTION("""COMPUTED_VALUE"""),"Functional")</f>
        <v>Functional</v>
      </c>
      <c r="N367" s="25">
        <f t="shared" si="3"/>
        <v>0</v>
      </c>
    </row>
    <row r="368">
      <c r="A368" s="12" t="s">
        <v>125</v>
      </c>
      <c r="B368" s="20"/>
      <c r="C368" s="20"/>
      <c r="D368" s="19"/>
      <c r="E368" s="19"/>
      <c r="F368" s="19"/>
      <c r="G368" s="19"/>
      <c r="L368" s="27" t="str">
        <f>IFERROR(__xludf.DUMMYFUNCTION("""COMPUTED_VALUE"""),"Availability")</f>
        <v>Availability</v>
      </c>
      <c r="N368" s="25">
        <f t="shared" si="3"/>
        <v>0</v>
      </c>
    </row>
    <row r="369">
      <c r="A369" s="12" t="s">
        <v>506</v>
      </c>
      <c r="B369" s="20"/>
      <c r="C369" s="20"/>
      <c r="D369" s="19"/>
      <c r="E369" s="19"/>
      <c r="F369" s="19"/>
      <c r="G369" s="19"/>
      <c r="L369" s="27" t="str">
        <f>IFERROR(__xludf.DUMMYFUNCTION("""COMPUTED_VALUE"""),"Legal")</f>
        <v>Legal</v>
      </c>
      <c r="N369" s="25">
        <f t="shared" si="3"/>
        <v>0</v>
      </c>
    </row>
    <row r="370">
      <c r="A370" s="12" t="s">
        <v>505</v>
      </c>
      <c r="B370" s="20"/>
      <c r="C370" s="20"/>
      <c r="D370" s="19"/>
      <c r="E370" s="19"/>
      <c r="F370" s="19"/>
      <c r="G370" s="19"/>
      <c r="L370" s="27" t="str">
        <f>IFERROR(__xludf.DUMMYFUNCTION("""COMPUTED_VALUE"""),"Look and feel")</f>
        <v>Look and feel</v>
      </c>
      <c r="N370" s="25">
        <f t="shared" si="3"/>
        <v>0</v>
      </c>
    </row>
    <row r="371">
      <c r="A371" s="12" t="s">
        <v>504</v>
      </c>
      <c r="B371" s="20"/>
      <c r="C371" s="20"/>
      <c r="D371" s="19"/>
      <c r="E371" s="19"/>
      <c r="F371" s="19"/>
      <c r="G371" s="19"/>
      <c r="L371" s="27" t="str">
        <f>IFERROR(__xludf.DUMMYFUNCTION("""COMPUTED_VALUE"""),"Maintainability")</f>
        <v>Maintainability</v>
      </c>
      <c r="N371" s="25">
        <f t="shared" si="3"/>
        <v>0</v>
      </c>
    </row>
    <row r="372">
      <c r="A372" s="12" t="s">
        <v>507</v>
      </c>
      <c r="B372" s="20"/>
      <c r="C372" s="20"/>
      <c r="D372" s="19"/>
      <c r="E372" s="19"/>
      <c r="F372" s="19"/>
      <c r="G372" s="19"/>
      <c r="L372" s="27" t="str">
        <f>IFERROR(__xludf.DUMMYFUNCTION("""COMPUTED_VALUE"""),"Operational")</f>
        <v>Operational</v>
      </c>
    </row>
    <row r="373">
      <c r="A373" s="12" t="s">
        <v>516</v>
      </c>
      <c r="B373" s="20"/>
      <c r="C373" s="20"/>
      <c r="D373" s="19"/>
      <c r="E373" s="19"/>
      <c r="F373" s="19"/>
      <c r="G373" s="19"/>
      <c r="L373" s="27" t="str">
        <f>IFERROR(__xludf.DUMMYFUNCTION("""COMPUTED_VALUE"""),"Performance")</f>
        <v>Performance</v>
      </c>
    </row>
    <row r="374">
      <c r="A374" s="12" t="s">
        <v>517</v>
      </c>
      <c r="B374" s="20"/>
      <c r="C374" s="20"/>
      <c r="D374" s="19"/>
      <c r="E374" s="19"/>
      <c r="F374" s="19"/>
      <c r="G374" s="19"/>
      <c r="L374" s="27" t="str">
        <f>IFERROR(__xludf.DUMMYFUNCTION("""COMPUTED_VALUE"""),"Scalability")</f>
        <v>Scalability</v>
      </c>
    </row>
    <row r="375">
      <c r="A375" s="12" t="s">
        <v>173</v>
      </c>
      <c r="B375" s="20"/>
      <c r="C375" s="20"/>
      <c r="D375" s="19"/>
      <c r="E375" s="19"/>
      <c r="F375" s="19"/>
      <c r="G375" s="19"/>
      <c r="L375" s="27" t="str">
        <f>IFERROR(__xludf.DUMMYFUNCTION("""COMPUTED_VALUE"""),"Security")</f>
        <v>Security</v>
      </c>
    </row>
    <row r="376">
      <c r="A376" s="12" t="s">
        <v>125</v>
      </c>
      <c r="B376" s="20"/>
      <c r="C376" s="20"/>
      <c r="D376" s="19"/>
      <c r="E376" s="19"/>
      <c r="F376" s="19"/>
      <c r="G376" s="19"/>
      <c r="L376" s="27" t="str">
        <f>IFERROR(__xludf.DUMMYFUNCTION("""COMPUTED_VALUE"""),"Usability")</f>
        <v>Usability</v>
      </c>
    </row>
    <row r="377">
      <c r="A377" s="12" t="s">
        <v>506</v>
      </c>
      <c r="B377" s="20"/>
      <c r="C377" s="20"/>
      <c r="D377" s="19"/>
      <c r="E377" s="19"/>
      <c r="F377" s="19"/>
      <c r="G377" s="19"/>
      <c r="L377" s="27" t="str">
        <f>IFERROR(__xludf.DUMMYFUNCTION("""COMPUTED_VALUE"""),"Fault tolerance")</f>
        <v>Fault tolerance</v>
      </c>
    </row>
    <row r="378">
      <c r="A378" s="12" t="s">
        <v>505</v>
      </c>
      <c r="B378" s="20"/>
      <c r="C378" s="20"/>
      <c r="D378" s="19"/>
      <c r="E378" s="19"/>
      <c r="F378" s="19"/>
      <c r="G378" s="19"/>
      <c r="L378" s="27" t="str">
        <f>IFERROR(__xludf.DUMMYFUNCTION("""COMPUTED_VALUE"""),"Portability")</f>
        <v>Portability</v>
      </c>
    </row>
    <row r="379">
      <c r="A379" s="12" t="s">
        <v>504</v>
      </c>
      <c r="B379" s="20"/>
      <c r="C379" s="20"/>
      <c r="D379" s="19"/>
      <c r="E379" s="19"/>
      <c r="F379" s="19"/>
      <c r="G379" s="19"/>
      <c r="L379" s="27" t="str">
        <f>IFERROR(__xludf.DUMMYFUNCTION("""COMPUTED_VALUE"""),"Functional")</f>
        <v>Functional</v>
      </c>
    </row>
    <row r="380">
      <c r="A380" s="12" t="s">
        <v>507</v>
      </c>
      <c r="B380" s="20"/>
      <c r="C380" s="20"/>
      <c r="D380" s="19"/>
      <c r="E380" s="19"/>
      <c r="F380" s="19"/>
      <c r="G380" s="19"/>
      <c r="L380" s="27" t="str">
        <f>IFERROR(__xludf.DUMMYFUNCTION("""COMPUTED_VALUE"""),"Availability")</f>
        <v>Availability</v>
      </c>
    </row>
    <row r="381">
      <c r="A381" s="12" t="s">
        <v>516</v>
      </c>
      <c r="B381" s="20"/>
      <c r="C381" s="20"/>
      <c r="D381" s="19"/>
      <c r="E381" s="19"/>
      <c r="F381" s="19"/>
      <c r="G381" s="19"/>
      <c r="L381" s="27" t="str">
        <f>IFERROR(__xludf.DUMMYFUNCTION("""COMPUTED_VALUE"""),"Legal")</f>
        <v>Legal</v>
      </c>
    </row>
    <row r="382">
      <c r="A382" s="12" t="s">
        <v>517</v>
      </c>
      <c r="B382" s="20"/>
      <c r="C382" s="20"/>
      <c r="D382" s="19"/>
      <c r="E382" s="19"/>
      <c r="F382" s="19"/>
      <c r="G382" s="19"/>
      <c r="L382" s="27" t="str">
        <f>IFERROR(__xludf.DUMMYFUNCTION("""COMPUTED_VALUE"""),"Look and feel")</f>
        <v>Look and feel</v>
      </c>
    </row>
    <row r="383">
      <c r="A383" s="12" t="s">
        <v>173</v>
      </c>
      <c r="B383" s="20"/>
      <c r="C383" s="20"/>
      <c r="D383" s="19"/>
      <c r="E383" s="19"/>
      <c r="F383" s="19"/>
      <c r="G383" s="19"/>
      <c r="L383" s="27" t="str">
        <f>IFERROR(__xludf.DUMMYFUNCTION("""COMPUTED_VALUE"""),"Maintainability")</f>
        <v>Maintainability</v>
      </c>
    </row>
    <row r="384">
      <c r="B384" s="20"/>
      <c r="C384" s="20"/>
      <c r="D384" s="19"/>
      <c r="E384" s="19"/>
      <c r="F384" s="19"/>
      <c r="G384" s="19"/>
      <c r="L384" s="27" t="str">
        <f>IFERROR(__xludf.DUMMYFUNCTION("""COMPUTED_VALUE"""),"Operational")</f>
        <v>Operational</v>
      </c>
    </row>
    <row r="385">
      <c r="B385" s="40"/>
      <c r="C385" s="40"/>
      <c r="D385" s="41"/>
      <c r="E385" s="41"/>
      <c r="F385" s="41"/>
      <c r="G385" s="41"/>
      <c r="H385" s="42"/>
      <c r="I385" s="42"/>
      <c r="J385" s="43"/>
      <c r="L385" s="27" t="str">
        <f>IFERROR(__xludf.DUMMYFUNCTION("""COMPUTED_VALUE"""),"Performance")</f>
        <v>Performance</v>
      </c>
    </row>
    <row r="386">
      <c r="B386" s="44" t="s">
        <v>8</v>
      </c>
      <c r="C386" s="45" t="s">
        <v>24</v>
      </c>
      <c r="D386" s="46">
        <v>1.0</v>
      </c>
      <c r="E386" s="47">
        <v>12.0</v>
      </c>
      <c r="F386" s="47">
        <v>7.0</v>
      </c>
      <c r="G386" s="46">
        <v>2.0</v>
      </c>
      <c r="H386" s="46">
        <v>1.0</v>
      </c>
      <c r="I386" s="48"/>
      <c r="J386" s="49">
        <f t="shared" ref="J386:J389" si="4">SUM(D386:H386)</f>
        <v>23</v>
      </c>
      <c r="K386" s="50"/>
      <c r="L386" s="27" t="str">
        <f>IFERROR(__xludf.DUMMYFUNCTION("""COMPUTED_VALUE"""),"Scalability")</f>
        <v>Scalability</v>
      </c>
    </row>
    <row r="387">
      <c r="B387" s="51"/>
      <c r="C387" s="45" t="s">
        <v>39</v>
      </c>
      <c r="D387" s="47">
        <v>6.0</v>
      </c>
      <c r="E387" s="47">
        <v>10.0</v>
      </c>
      <c r="F387" s="47">
        <v>8.0</v>
      </c>
      <c r="G387" s="46">
        <v>2.0</v>
      </c>
      <c r="H387" s="46">
        <v>0.0</v>
      </c>
      <c r="I387" s="48"/>
      <c r="J387" s="49">
        <f t="shared" si="4"/>
        <v>26</v>
      </c>
      <c r="K387" s="50"/>
      <c r="L387" s="27" t="str">
        <f>IFERROR(__xludf.DUMMYFUNCTION("""COMPUTED_VALUE"""),"Security")</f>
        <v>Security</v>
      </c>
    </row>
    <row r="388">
      <c r="B388" s="51"/>
      <c r="C388" s="45" t="s">
        <v>62</v>
      </c>
      <c r="D388" s="46">
        <v>0.0</v>
      </c>
      <c r="E388" s="46">
        <v>2.0</v>
      </c>
      <c r="F388" s="46">
        <v>4.0</v>
      </c>
      <c r="G388" s="46">
        <v>3.0</v>
      </c>
      <c r="H388" s="46">
        <v>0.0</v>
      </c>
      <c r="I388" s="48"/>
      <c r="J388" s="52">
        <f t="shared" si="4"/>
        <v>9</v>
      </c>
      <c r="K388" s="50"/>
      <c r="L388" s="27" t="str">
        <f>IFERROR(__xludf.DUMMYFUNCTION("""COMPUTED_VALUE"""),"Usability")</f>
        <v>Usability</v>
      </c>
    </row>
    <row r="389">
      <c r="B389" s="53"/>
      <c r="C389" s="45" t="s">
        <v>50</v>
      </c>
      <c r="D389" s="46">
        <v>0.0</v>
      </c>
      <c r="E389" s="46">
        <v>0.0</v>
      </c>
      <c r="F389" s="46">
        <v>0.0</v>
      </c>
      <c r="G389" s="46">
        <v>2.0</v>
      </c>
      <c r="H389" s="46">
        <v>2.0</v>
      </c>
      <c r="I389" s="48"/>
      <c r="J389" s="52">
        <f t="shared" si="4"/>
        <v>4</v>
      </c>
      <c r="K389" s="50"/>
      <c r="L389" s="27" t="str">
        <f>IFERROR(__xludf.DUMMYFUNCTION("""COMPUTED_VALUE"""),"Fault tolerance")</f>
        <v>Fault tolerance</v>
      </c>
    </row>
    <row r="390" ht="6.75" customHeight="1">
      <c r="B390" s="54"/>
      <c r="C390" s="55"/>
      <c r="D390" s="56"/>
      <c r="E390" s="56"/>
      <c r="F390" s="56"/>
      <c r="G390" s="56"/>
      <c r="H390" s="56"/>
      <c r="I390" s="56"/>
      <c r="J390" s="56"/>
      <c r="K390" s="57"/>
      <c r="L390" s="27" t="str">
        <f>IFERROR(__xludf.DUMMYFUNCTION("""COMPUTED_VALUE"""),"Portability")</f>
        <v>Portability</v>
      </c>
    </row>
    <row r="391">
      <c r="B391" s="40"/>
      <c r="C391" s="45" t="s">
        <v>693</v>
      </c>
      <c r="D391" s="58">
        <f t="shared" ref="D391:H391" si="5">SUM(D386:D389)</f>
        <v>7</v>
      </c>
      <c r="E391" s="59">
        <f t="shared" si="5"/>
        <v>24</v>
      </c>
      <c r="F391" s="59">
        <f t="shared" si="5"/>
        <v>19</v>
      </c>
      <c r="G391" s="58">
        <f t="shared" si="5"/>
        <v>9</v>
      </c>
      <c r="H391" s="58">
        <f t="shared" si="5"/>
        <v>3</v>
      </c>
      <c r="I391" s="60"/>
      <c r="J391" s="61">
        <v>62.0</v>
      </c>
      <c r="K391" s="62"/>
      <c r="L391" s="27" t="str">
        <f>IFERROR(__xludf.DUMMYFUNCTION("""COMPUTED_VALUE"""),"Security")</f>
        <v>Security</v>
      </c>
    </row>
    <row r="392">
      <c r="B392" s="40"/>
      <c r="C392" s="63"/>
      <c r="D392" s="64" t="s">
        <v>694</v>
      </c>
      <c r="E392" s="64" t="s">
        <v>695</v>
      </c>
      <c r="F392" s="64" t="s">
        <v>696</v>
      </c>
      <c r="G392" s="64" t="s">
        <v>697</v>
      </c>
      <c r="H392" s="64" t="s">
        <v>698</v>
      </c>
      <c r="I392" s="65"/>
      <c r="J392" s="66" t="s">
        <v>693</v>
      </c>
      <c r="L392" s="27" t="str">
        <f>IFERROR(__xludf.DUMMYFUNCTION("""COMPUTED_VALUE"""),"Non-security")</f>
        <v>Non-security</v>
      </c>
    </row>
    <row r="393">
      <c r="B393" s="42"/>
      <c r="C393" s="40"/>
      <c r="D393" s="67" t="s">
        <v>12</v>
      </c>
      <c r="E393" s="68"/>
      <c r="F393" s="68"/>
      <c r="G393" s="68"/>
      <c r="H393" s="69"/>
      <c r="I393" s="55"/>
      <c r="J393" s="55"/>
      <c r="L393" s="27" t="str">
        <f>IFERROR(__xludf.DUMMYFUNCTION("""COMPUTED_VALUE"""),"Neutral")</f>
        <v>Neutral</v>
      </c>
    </row>
    <row r="394">
      <c r="B394" s="42"/>
      <c r="L394" s="27" t="str">
        <f>IFERROR(__xludf.DUMMYFUNCTION("""COMPUTED_VALUE"""),"Conflict")</f>
        <v>Conflict</v>
      </c>
    </row>
    <row r="395">
      <c r="L395" s="27" t="str">
        <f>IFERROR(__xludf.DUMMYFUNCTION("""COMPUTED_VALUE"""),"IsFunctional")</f>
        <v>IsFunctional</v>
      </c>
    </row>
    <row r="396">
      <c r="L396" s="27" t="str">
        <f>IFERROR(__xludf.DUMMYFUNCTION("""COMPUTED_VALUE"""),"IsQuality")</f>
        <v>IsQuality</v>
      </c>
    </row>
    <row r="397">
      <c r="L397" s="27" t="str">
        <f>IFERROR(__xludf.DUMMYFUNCTION("""COMPUTED_VALUE"""),"OnlyFunctional")</f>
        <v>OnlyFunctional</v>
      </c>
    </row>
    <row r="398">
      <c r="L398" s="27" t="str">
        <f>IFERROR(__xludf.DUMMYFUNCTION("""COMPUTED_VALUE"""),"OnlyQuality")</f>
        <v>OnlyQuality</v>
      </c>
    </row>
    <row r="399">
      <c r="L399" s="27" t="str">
        <f>IFERROR(__xludf.DUMMYFUNCTION("""COMPUTED_VALUE"""),"Nocuous")</f>
        <v>Nocuous</v>
      </c>
    </row>
    <row r="400">
      <c r="B400" s="70" t="s">
        <v>699</v>
      </c>
      <c r="C400" s="71" t="s">
        <v>700</v>
      </c>
      <c r="D400" s="72">
        <v>0.0</v>
      </c>
      <c r="E400" s="52">
        <v>2.0</v>
      </c>
      <c r="F400" s="52">
        <v>0.0</v>
      </c>
      <c r="G400" s="52">
        <v>0.0</v>
      </c>
      <c r="H400" s="52">
        <v>0.0</v>
      </c>
      <c r="I400" s="48"/>
      <c r="J400" s="52">
        <f t="shared" ref="J400:J404" si="6">SUM(D400:H400)</f>
        <v>2</v>
      </c>
      <c r="K400" s="50"/>
      <c r="L400" s="27" t="str">
        <f>IFERROR(__xludf.DUMMYFUNCTION("""COMPUTED_VALUE"""),"Inocuous")</f>
        <v>Inocuous</v>
      </c>
    </row>
    <row r="401">
      <c r="B401" s="51"/>
      <c r="C401" s="71" t="s">
        <v>701</v>
      </c>
      <c r="D401" s="49">
        <v>13.0</v>
      </c>
      <c r="E401" s="52">
        <v>4.0</v>
      </c>
      <c r="F401" s="52">
        <v>0.0</v>
      </c>
      <c r="G401" s="52">
        <v>0.0</v>
      </c>
      <c r="H401" s="52">
        <v>1.0</v>
      </c>
      <c r="I401" s="48"/>
      <c r="J401" s="49">
        <f t="shared" si="6"/>
        <v>18</v>
      </c>
      <c r="K401" s="50"/>
      <c r="L401" s="27" t="str">
        <f>IFERROR(__xludf.DUMMYFUNCTION("""COMPUTED_VALUE"""),"Security")</f>
        <v>Security</v>
      </c>
    </row>
    <row r="402">
      <c r="B402" s="51"/>
      <c r="C402" s="71" t="s">
        <v>702</v>
      </c>
      <c r="D402" s="52">
        <v>3.0</v>
      </c>
      <c r="E402" s="52">
        <v>0.0</v>
      </c>
      <c r="F402" s="52">
        <v>5.0</v>
      </c>
      <c r="G402" s="52">
        <v>0.0</v>
      </c>
      <c r="H402" s="52">
        <v>0.0</v>
      </c>
      <c r="I402" s="48"/>
      <c r="J402" s="52">
        <f t="shared" si="6"/>
        <v>8</v>
      </c>
      <c r="K402" s="50"/>
      <c r="L402" s="27" t="str">
        <f>IFERROR(__xludf.DUMMYFUNCTION("""COMPUTED_VALUE"""),"Neutral")</f>
        <v>Neutral</v>
      </c>
    </row>
    <row r="403">
      <c r="B403" s="53"/>
      <c r="C403" s="71" t="s">
        <v>703</v>
      </c>
      <c r="D403" s="52">
        <v>1.0</v>
      </c>
      <c r="E403" s="52">
        <v>0.0</v>
      </c>
      <c r="F403" s="52">
        <v>0.0</v>
      </c>
      <c r="G403" s="49">
        <v>23.0</v>
      </c>
      <c r="H403" s="52">
        <v>0.0</v>
      </c>
      <c r="I403" s="48"/>
      <c r="J403" s="49">
        <f t="shared" si="6"/>
        <v>24</v>
      </c>
      <c r="K403" s="50"/>
      <c r="L403" s="27" t="str">
        <f>IFERROR(__xludf.DUMMYFUNCTION("""COMPUTED_VALUE"""),"Conflict")</f>
        <v>Conflict</v>
      </c>
    </row>
    <row r="404">
      <c r="B404" s="73"/>
      <c r="C404" s="71" t="s">
        <v>704</v>
      </c>
      <c r="D404" s="49">
        <v>8.0</v>
      </c>
      <c r="E404" s="52">
        <v>1.0</v>
      </c>
      <c r="F404" s="52">
        <v>0.0</v>
      </c>
      <c r="G404" s="52">
        <v>1.0</v>
      </c>
      <c r="H404" s="52">
        <v>0.0</v>
      </c>
      <c r="I404" s="56"/>
      <c r="J404" s="52">
        <f t="shared" si="6"/>
        <v>10</v>
      </c>
      <c r="K404" s="50"/>
      <c r="L404" s="27" t="str">
        <f>IFERROR(__xludf.DUMMYFUNCTION("""COMPUTED_VALUE"""),"Conflicts")</f>
        <v>Conflicts</v>
      </c>
    </row>
    <row r="405" ht="7.5" customHeight="1">
      <c r="B405" s="54"/>
      <c r="C405" s="42"/>
      <c r="D405" s="56"/>
      <c r="E405" s="56"/>
      <c r="F405" s="56"/>
      <c r="G405" s="56"/>
      <c r="H405" s="56"/>
      <c r="I405" s="56"/>
      <c r="J405" s="56"/>
      <c r="K405" s="57"/>
      <c r="L405" s="27" t="str">
        <f>IFERROR(__xludf.DUMMYFUNCTION("""COMPUTED_VALUE"""),"Optional")</f>
        <v>Optional</v>
      </c>
    </row>
    <row r="406">
      <c r="B406" s="54"/>
      <c r="C406" s="66" t="s">
        <v>693</v>
      </c>
      <c r="D406" s="59">
        <f t="shared" ref="D406:H406" si="7">SUM(D401:D404)</f>
        <v>25</v>
      </c>
      <c r="E406" s="58">
        <f t="shared" si="7"/>
        <v>5</v>
      </c>
      <c r="F406" s="58">
        <f t="shared" si="7"/>
        <v>5</v>
      </c>
      <c r="G406" s="59">
        <f t="shared" si="7"/>
        <v>24</v>
      </c>
      <c r="H406" s="58">
        <f t="shared" si="7"/>
        <v>1</v>
      </c>
      <c r="I406" s="60"/>
      <c r="J406" s="61">
        <v>62.0</v>
      </c>
      <c r="K406" s="62"/>
      <c r="L406" s="27" t="str">
        <f>IFERROR(__xludf.DUMMYFUNCTION("""COMPUTED_VALUE"""),"uncertain")</f>
        <v>uncertain</v>
      </c>
    </row>
    <row r="407">
      <c r="B407" s="40"/>
      <c r="C407" s="74"/>
      <c r="D407" s="75" t="s">
        <v>705</v>
      </c>
      <c r="E407" s="75" t="s">
        <v>706</v>
      </c>
      <c r="F407" s="75" t="s">
        <v>707</v>
      </c>
      <c r="G407" s="75" t="s">
        <v>708</v>
      </c>
      <c r="H407" s="75" t="s">
        <v>41</v>
      </c>
      <c r="I407" s="65"/>
      <c r="J407" s="66" t="s">
        <v>693</v>
      </c>
      <c r="L407" s="27" t="str">
        <f>IFERROR(__xludf.DUMMYFUNCTION("""COMPUTED_VALUE"""),"directive")</f>
        <v>directive</v>
      </c>
    </row>
    <row r="408">
      <c r="B408" s="40"/>
      <c r="C408" s="54"/>
      <c r="D408" s="76" t="s">
        <v>10</v>
      </c>
      <c r="E408" s="68"/>
      <c r="F408" s="68"/>
      <c r="G408" s="68"/>
      <c r="H408" s="69"/>
      <c r="I408" s="42"/>
      <c r="J408" s="42"/>
      <c r="L408" s="27" t="str">
        <f>IFERROR(__xludf.DUMMYFUNCTION("""COMPUTED_VALUE"""),"non-atomic")</f>
        <v>non-atomic</v>
      </c>
    </row>
    <row r="409">
      <c r="B409" s="20"/>
      <c r="C409" s="20"/>
      <c r="D409" s="19"/>
      <c r="E409" s="19"/>
      <c r="F409" s="19"/>
      <c r="G409" s="19"/>
      <c r="L409" s="27" t="str">
        <f>IFERROR(__xludf.DUMMYFUNCTION("""COMPUTED_VALUE"""),"ambiguous")</f>
        <v>ambiguous</v>
      </c>
    </row>
    <row r="410">
      <c r="B410" s="20"/>
      <c r="C410" s="20"/>
      <c r="D410" s="19"/>
      <c r="E410" s="19"/>
      <c r="F410" s="19"/>
      <c r="G410" s="19"/>
      <c r="L410" s="27" t="str">
        <f>IFERROR(__xludf.DUMMYFUNCTION("""COMPUTED_VALUE"""),"non-mesurable")</f>
        <v>non-mesurable</v>
      </c>
    </row>
    <row r="411">
      <c r="B411" s="20"/>
      <c r="C411" s="20"/>
      <c r="D411" s="19"/>
      <c r="E411" s="19"/>
      <c r="F411" s="19"/>
      <c r="G411" s="19"/>
      <c r="L411" s="27" t="str">
        <f>IFERROR(__xludf.DUMMYFUNCTION("""COMPUTED_VALUE"""),"Neutral")</f>
        <v>Neutral</v>
      </c>
    </row>
    <row r="412">
      <c r="B412" s="20"/>
      <c r="C412" s="20"/>
      <c r="D412" s="19"/>
      <c r="E412" s="19"/>
      <c r="F412" s="19"/>
      <c r="G412" s="19"/>
      <c r="L412" s="27" t="str">
        <f>IFERROR(__xludf.DUMMYFUNCTION("""COMPUTED_VALUE"""),"Conflict")</f>
        <v>Conflict</v>
      </c>
    </row>
    <row r="413">
      <c r="B413" s="20"/>
      <c r="C413" s="20"/>
      <c r="D413" s="19"/>
      <c r="E413" s="19"/>
      <c r="F413" s="19"/>
      <c r="G413" s="19"/>
      <c r="L413" s="27" t="str">
        <f>IFERROR(__xludf.DUMMYFUNCTION("""COMPUTED_VALUE"""),"Fair")</f>
        <v>Fair</v>
      </c>
    </row>
    <row r="414">
      <c r="B414" s="20"/>
      <c r="C414" s="20"/>
      <c r="D414" s="19"/>
      <c r="E414" s="19"/>
      <c r="F414" s="19"/>
      <c r="G414" s="19"/>
      <c r="L414" s="27" t="str">
        <f>IFERROR(__xludf.DUMMYFUNCTION("""COMPUTED_VALUE"""),"Unfair")</f>
        <v>Unfair</v>
      </c>
    </row>
    <row r="415">
      <c r="B415" s="20"/>
      <c r="C415" s="20"/>
      <c r="D415" s="19"/>
      <c r="E415" s="19"/>
      <c r="F415" s="19"/>
      <c r="G415" s="19"/>
      <c r="L415" s="27" t="str">
        <f>IFERROR(__xludf.DUMMYFUNCTION("""COMPUTED_VALUE"""),"Positive")</f>
        <v>Positive</v>
      </c>
    </row>
    <row r="416">
      <c r="B416" s="20"/>
      <c r="C416" s="20"/>
      <c r="D416" s="19"/>
      <c r="E416" s="19"/>
      <c r="F416" s="19"/>
      <c r="G416" s="19"/>
      <c r="L416" s="27" t="str">
        <f>IFERROR(__xludf.DUMMYFUNCTION("""COMPUTED_VALUE"""),"Negative")</f>
        <v>Negative</v>
      </c>
    </row>
    <row r="417">
      <c r="B417" s="20"/>
      <c r="C417" s="20"/>
      <c r="D417" s="19"/>
      <c r="E417" s="19"/>
      <c r="F417" s="19"/>
      <c r="G417" s="19"/>
      <c r="L417" s="27" t="str">
        <f>IFERROR(__xludf.DUMMYFUNCTION("""COMPUTED_VALUE"""),"Neutral")</f>
        <v>Neutral</v>
      </c>
    </row>
    <row r="418">
      <c r="B418" s="20"/>
      <c r="C418" s="20"/>
      <c r="D418" s="19"/>
      <c r="E418" s="19"/>
      <c r="F418" s="19"/>
      <c r="G418" s="19"/>
      <c r="L418" s="27" t="str">
        <f>IFERROR(__xludf.DUMMYFUNCTION("""COMPUTED_VALUE"""),"Conflict")</f>
        <v>Conflict</v>
      </c>
    </row>
    <row r="419">
      <c r="B419" s="20"/>
      <c r="C419" s="20"/>
      <c r="D419" s="19"/>
      <c r="E419" s="19"/>
      <c r="F419" s="19"/>
      <c r="G419" s="19"/>
      <c r="L419" s="27" t="str">
        <f>IFERROR(__xludf.DUMMYFUNCTION("""COMPUTED_VALUE"""),"Functional")</f>
        <v>Functional</v>
      </c>
    </row>
    <row r="420">
      <c r="B420" s="20"/>
      <c r="C420" s="20"/>
      <c r="D420" s="19"/>
      <c r="E420" s="19"/>
      <c r="F420" s="19"/>
      <c r="G420" s="19"/>
      <c r="L420" s="27" t="str">
        <f>IFERROR(__xludf.DUMMYFUNCTION("""COMPUTED_VALUE"""),"Security")</f>
        <v>Security</v>
      </c>
    </row>
    <row r="421">
      <c r="B421" s="20"/>
      <c r="C421" s="20"/>
      <c r="D421" s="19"/>
      <c r="E421" s="19"/>
      <c r="F421" s="19"/>
      <c r="G421" s="19"/>
      <c r="L421" s="27" t="str">
        <f>IFERROR(__xludf.DUMMYFUNCTION("""COMPUTED_VALUE"""),"Usability")</f>
        <v>Usability</v>
      </c>
    </row>
    <row r="422">
      <c r="B422" s="20"/>
      <c r="C422" s="20"/>
      <c r="D422" s="19"/>
      <c r="E422" s="19"/>
      <c r="F422" s="19"/>
      <c r="G422" s="19"/>
      <c r="L422" s="27" t="str">
        <f>IFERROR(__xludf.DUMMYFUNCTION("""COMPUTED_VALUE"""),"Operability")</f>
        <v>Operability</v>
      </c>
    </row>
    <row r="423">
      <c r="B423" s="20"/>
      <c r="C423" s="20"/>
      <c r="D423" s="19"/>
      <c r="E423" s="19"/>
      <c r="F423" s="19"/>
      <c r="G423" s="19"/>
      <c r="L423" s="27" t="str">
        <f>IFERROR(__xludf.DUMMYFUNCTION("""COMPUTED_VALUE"""),"Performance")</f>
        <v>Performance</v>
      </c>
    </row>
    <row r="424">
      <c r="B424" s="20"/>
      <c r="C424" s="20"/>
      <c r="D424" s="19"/>
      <c r="E424" s="19"/>
      <c r="F424" s="19"/>
      <c r="G424" s="19"/>
      <c r="L424" s="27" t="str">
        <f>IFERROR(__xludf.DUMMYFUNCTION("""COMPUTED_VALUE"""),"Fault tolerance")</f>
        <v>Fault tolerance</v>
      </c>
    </row>
    <row r="425">
      <c r="B425" s="20"/>
      <c r="C425" s="20"/>
      <c r="D425" s="19"/>
      <c r="E425" s="19"/>
      <c r="F425" s="19"/>
      <c r="G425" s="19"/>
      <c r="L425" s="27" t="str">
        <f>IFERROR(__xludf.DUMMYFUNCTION("""COMPUTED_VALUE"""),"Maintainability")</f>
        <v>Maintainability</v>
      </c>
    </row>
    <row r="426">
      <c r="B426" s="20"/>
      <c r="C426" s="20"/>
      <c r="D426" s="19"/>
      <c r="E426" s="19"/>
      <c r="F426" s="19"/>
      <c r="G426" s="19"/>
      <c r="L426" s="27" t="str">
        <f>IFERROR(__xludf.DUMMYFUNCTION("""COMPUTED_VALUE"""),"Scalability")</f>
        <v>Scalability</v>
      </c>
    </row>
    <row r="427">
      <c r="B427" s="20"/>
      <c r="C427" s="20"/>
      <c r="D427" s="19"/>
      <c r="E427" s="19"/>
      <c r="F427" s="19"/>
      <c r="G427" s="19"/>
      <c r="L427" s="27" t="str">
        <f>IFERROR(__xludf.DUMMYFUNCTION("""COMPUTED_VALUE"""),"Look and Feel")</f>
        <v>Look and Feel</v>
      </c>
    </row>
    <row r="428">
      <c r="B428" s="20"/>
      <c r="C428" s="20"/>
      <c r="D428" s="19"/>
      <c r="E428" s="19"/>
      <c r="F428" s="19"/>
      <c r="G428" s="19"/>
      <c r="L428" s="27" t="str">
        <f>IFERROR(__xludf.DUMMYFUNCTION("""COMPUTED_VALUE"""),"Legal")</f>
        <v>Legal</v>
      </c>
    </row>
    <row r="429">
      <c r="B429" s="20"/>
      <c r="C429" s="20"/>
      <c r="D429" s="19"/>
      <c r="E429" s="19"/>
      <c r="F429" s="19"/>
      <c r="G429" s="19"/>
      <c r="L429" s="27" t="str">
        <f>IFERROR(__xludf.DUMMYFUNCTION("""COMPUTED_VALUE"""),"Portability")</f>
        <v>Portability</v>
      </c>
    </row>
    <row r="430">
      <c r="B430" s="20"/>
      <c r="C430" s="20"/>
      <c r="D430" s="19"/>
      <c r="E430" s="19"/>
      <c r="F430" s="19"/>
      <c r="G430" s="19"/>
      <c r="L430" s="27" t="str">
        <f>IFERROR(__xludf.DUMMYFUNCTION("""COMPUTED_VALUE"""),"absence_global")</f>
        <v>absence_global</v>
      </c>
    </row>
    <row r="431">
      <c r="B431" s="20"/>
      <c r="C431" s="20"/>
      <c r="D431" s="19"/>
      <c r="E431" s="19"/>
      <c r="F431" s="19"/>
      <c r="G431" s="19"/>
      <c r="L431" s="27" t="str">
        <f>IFERROR(__xludf.DUMMYFUNCTION("""COMPUTED_VALUE"""),"universal_global")</f>
        <v>universal_global</v>
      </c>
    </row>
    <row r="432">
      <c r="B432" s="20"/>
      <c r="C432" s="20"/>
      <c r="D432" s="19"/>
      <c r="E432" s="19"/>
      <c r="F432" s="19"/>
      <c r="G432" s="19"/>
      <c r="L432" s="27" t="str">
        <f>IFERROR(__xludf.DUMMYFUNCTION("""COMPUTED_VALUE"""),"existence_global")</f>
        <v>existence_global</v>
      </c>
    </row>
    <row r="433">
      <c r="B433" s="20"/>
      <c r="C433" s="20"/>
      <c r="D433" s="19"/>
      <c r="E433" s="19"/>
      <c r="F433" s="19"/>
      <c r="G433" s="19"/>
      <c r="L433" s="27" t="str">
        <f>IFERROR(__xludf.DUMMYFUNCTION("""COMPUTED_VALUE"""),"response_global")</f>
        <v>response_global</v>
      </c>
    </row>
    <row r="434">
      <c r="B434" s="20"/>
      <c r="C434" s="20"/>
      <c r="D434" s="19"/>
      <c r="E434" s="19"/>
      <c r="F434" s="19"/>
      <c r="G434" s="19"/>
      <c r="L434" s="27" t="str">
        <f>IFERROR(__xludf.DUMMYFUNCTION("""COMPUTED_VALUE"""),"absence_after")</f>
        <v>absence_after</v>
      </c>
    </row>
    <row r="435">
      <c r="B435" s="20"/>
      <c r="C435" s="20"/>
      <c r="D435" s="19"/>
      <c r="E435" s="19"/>
      <c r="F435" s="19"/>
      <c r="G435" s="19"/>
      <c r="L435" s="27" t="str">
        <f>IFERROR(__xludf.DUMMYFUNCTION("""COMPUTED_VALUE"""),"universal_after")</f>
        <v>universal_after</v>
      </c>
    </row>
    <row r="436">
      <c r="B436" s="20"/>
      <c r="C436" s="20"/>
      <c r="D436" s="19"/>
      <c r="E436" s="19"/>
      <c r="F436" s="19"/>
      <c r="G436" s="19"/>
      <c r="L436" s="27" t="str">
        <f>IFERROR(__xludf.DUMMYFUNCTION("""COMPUTED_VALUE"""),"existence_after")</f>
        <v>existence_after</v>
      </c>
    </row>
    <row r="437">
      <c r="B437" s="20"/>
      <c r="C437" s="20"/>
      <c r="D437" s="19"/>
      <c r="E437" s="19"/>
      <c r="F437" s="19"/>
      <c r="G437" s="19"/>
      <c r="L437" s="27" t="str">
        <f>IFERROR(__xludf.DUMMYFUNCTION("""COMPUTED_VALUE"""),"response_after")</f>
        <v>response_after</v>
      </c>
    </row>
    <row r="438">
      <c r="B438" s="20"/>
      <c r="C438" s="20"/>
      <c r="D438" s="19"/>
      <c r="E438" s="19"/>
      <c r="F438" s="19"/>
      <c r="G438" s="19"/>
    </row>
    <row r="439">
      <c r="B439" s="20"/>
      <c r="C439" s="20"/>
      <c r="D439" s="19"/>
      <c r="E439" s="19"/>
      <c r="F439" s="19"/>
      <c r="G439" s="19"/>
    </row>
    <row r="440">
      <c r="B440" s="20"/>
      <c r="C440" s="20"/>
      <c r="D440" s="19"/>
      <c r="E440" s="19"/>
      <c r="F440" s="19"/>
      <c r="G440" s="19"/>
    </row>
    <row r="441">
      <c r="B441" s="20"/>
      <c r="C441" s="20"/>
      <c r="D441" s="19"/>
      <c r="E441" s="19"/>
      <c r="F441" s="19"/>
      <c r="G441" s="19"/>
    </row>
    <row r="442">
      <c r="B442" s="20"/>
      <c r="C442" s="20"/>
      <c r="D442" s="19"/>
      <c r="E442" s="19"/>
      <c r="F442" s="19"/>
      <c r="G442" s="19"/>
    </row>
    <row r="443">
      <c r="B443" s="20"/>
      <c r="C443" s="20"/>
      <c r="D443" s="19"/>
      <c r="E443" s="19"/>
      <c r="F443" s="19"/>
      <c r="G443" s="19"/>
    </row>
    <row r="444">
      <c r="B444" s="20"/>
      <c r="C444" s="20"/>
      <c r="D444" s="19"/>
      <c r="E444" s="19"/>
      <c r="F444" s="19"/>
      <c r="G444" s="19"/>
    </row>
    <row r="445">
      <c r="B445" s="20"/>
      <c r="C445" s="20"/>
      <c r="D445" s="19"/>
      <c r="E445" s="19"/>
      <c r="F445" s="19"/>
      <c r="G445" s="19"/>
    </row>
    <row r="446">
      <c r="B446" s="20"/>
      <c r="C446" s="20"/>
      <c r="D446" s="19"/>
      <c r="E446" s="19"/>
      <c r="F446" s="19"/>
      <c r="G446" s="19"/>
    </row>
    <row r="447">
      <c r="B447" s="20"/>
      <c r="C447" s="20"/>
      <c r="D447" s="19"/>
      <c r="E447" s="19"/>
      <c r="F447" s="19"/>
      <c r="G447" s="19"/>
    </row>
    <row r="448">
      <c r="B448" s="20"/>
      <c r="C448" s="20"/>
      <c r="D448" s="19"/>
      <c r="E448" s="19"/>
      <c r="F448" s="19"/>
      <c r="G448" s="19"/>
    </row>
    <row r="449">
      <c r="B449" s="20"/>
      <c r="C449" s="20"/>
      <c r="D449" s="19"/>
      <c r="E449" s="19"/>
      <c r="F449" s="19"/>
      <c r="G449" s="19"/>
    </row>
    <row r="450">
      <c r="B450" s="20"/>
      <c r="C450" s="20"/>
      <c r="D450" s="19"/>
      <c r="E450" s="19"/>
      <c r="F450" s="19"/>
      <c r="G450" s="19"/>
    </row>
    <row r="451">
      <c r="B451" s="20"/>
      <c r="C451" s="20"/>
      <c r="D451" s="19"/>
      <c r="E451" s="19"/>
      <c r="F451" s="19"/>
      <c r="G451" s="19"/>
    </row>
    <row r="452">
      <c r="B452" s="20"/>
      <c r="C452" s="20"/>
      <c r="D452" s="19"/>
      <c r="E452" s="19"/>
      <c r="F452" s="19"/>
      <c r="G452" s="19"/>
    </row>
    <row r="453">
      <c r="B453" s="20"/>
      <c r="C453" s="20"/>
      <c r="D453" s="19"/>
      <c r="E453" s="19"/>
      <c r="F453" s="19"/>
      <c r="G453" s="19"/>
    </row>
    <row r="454">
      <c r="B454" s="20"/>
      <c r="C454" s="20"/>
      <c r="D454" s="19"/>
      <c r="E454" s="19"/>
      <c r="F454" s="19"/>
      <c r="G454" s="19"/>
    </row>
    <row r="455">
      <c r="B455" s="20"/>
      <c r="C455" s="20"/>
      <c r="D455" s="19"/>
      <c r="E455" s="19"/>
      <c r="F455" s="19"/>
      <c r="G455" s="19"/>
    </row>
    <row r="456">
      <c r="B456" s="20"/>
      <c r="C456" s="20"/>
      <c r="D456" s="19"/>
      <c r="E456" s="19"/>
      <c r="F456" s="19"/>
      <c r="G456" s="19"/>
    </row>
    <row r="457">
      <c r="B457" s="20"/>
      <c r="C457" s="20"/>
      <c r="D457" s="19"/>
      <c r="E457" s="19"/>
      <c r="F457" s="19"/>
      <c r="G457" s="19"/>
    </row>
    <row r="458">
      <c r="B458" s="20"/>
      <c r="C458" s="20"/>
      <c r="D458" s="19"/>
      <c r="E458" s="19"/>
      <c r="F458" s="19"/>
      <c r="G458" s="19"/>
    </row>
    <row r="459">
      <c r="B459" s="20"/>
      <c r="C459" s="20"/>
      <c r="D459" s="19"/>
      <c r="E459" s="19"/>
      <c r="F459" s="19"/>
      <c r="G459" s="19"/>
    </row>
    <row r="460">
      <c r="B460" s="20"/>
      <c r="C460" s="20"/>
      <c r="D460" s="19"/>
      <c r="E460" s="29" t="s">
        <v>709</v>
      </c>
      <c r="F460" s="29" t="s">
        <v>710</v>
      </c>
      <c r="G460" s="19"/>
    </row>
    <row r="461">
      <c r="B461" s="20"/>
      <c r="C461" s="12" t="s">
        <v>27</v>
      </c>
      <c r="D461" s="37">
        <f t="shared" ref="D461:D522" si="8">LEN(C461) - LEN(SUBSTITUTE(C461, ",", ""))+1</f>
        <v>1</v>
      </c>
      <c r="E461" s="77">
        <v>1.0</v>
      </c>
      <c r="F461" s="37">
        <f t="shared" ref="F461:F495" si="9">COUNTIF(D$461:D1846,E461)</f>
        <v>45</v>
      </c>
      <c r="G461" s="19"/>
    </row>
    <row r="462">
      <c r="B462" s="20"/>
      <c r="C462" s="12" t="s">
        <v>42</v>
      </c>
      <c r="D462" s="37">
        <f t="shared" si="8"/>
        <v>1</v>
      </c>
      <c r="E462" s="77">
        <v>2.0</v>
      </c>
      <c r="F462" s="37">
        <f t="shared" si="9"/>
        <v>4</v>
      </c>
      <c r="G462" s="19"/>
    </row>
    <row r="463">
      <c r="B463" s="20"/>
      <c r="C463" s="12" t="s">
        <v>52</v>
      </c>
      <c r="D463" s="37">
        <f t="shared" si="8"/>
        <v>1</v>
      </c>
      <c r="E463" s="77">
        <v>3.0</v>
      </c>
      <c r="F463" s="37">
        <f t="shared" si="9"/>
        <v>3</v>
      </c>
      <c r="G463" s="19"/>
    </row>
    <row r="464">
      <c r="B464" s="20"/>
      <c r="C464" s="12" t="s">
        <v>63</v>
      </c>
      <c r="D464" s="37">
        <f t="shared" si="8"/>
        <v>1</v>
      </c>
      <c r="E464" s="77">
        <v>4.0</v>
      </c>
      <c r="F464" s="37">
        <f t="shared" si="9"/>
        <v>0</v>
      </c>
      <c r="G464" s="19"/>
    </row>
    <row r="465">
      <c r="B465" s="20"/>
      <c r="C465" s="12" t="s">
        <v>71</v>
      </c>
      <c r="D465" s="37">
        <f t="shared" si="8"/>
        <v>1</v>
      </c>
      <c r="E465" s="77">
        <v>5.0</v>
      </c>
      <c r="F465" s="37">
        <f t="shared" si="9"/>
        <v>0</v>
      </c>
      <c r="G465" s="19"/>
    </row>
    <row r="466">
      <c r="B466" s="20"/>
      <c r="C466" s="12" t="s">
        <v>80</v>
      </c>
      <c r="D466" s="37">
        <f t="shared" si="8"/>
        <v>3</v>
      </c>
      <c r="E466" s="77">
        <v>6.0</v>
      </c>
      <c r="F466" s="37">
        <f t="shared" si="9"/>
        <v>1</v>
      </c>
      <c r="G466" s="19"/>
    </row>
    <row r="467">
      <c r="B467" s="20"/>
      <c r="C467" s="12" t="s">
        <v>90</v>
      </c>
      <c r="D467" s="37">
        <f t="shared" si="8"/>
        <v>3</v>
      </c>
      <c r="E467" s="77">
        <v>7.0</v>
      </c>
      <c r="F467" s="37">
        <f t="shared" si="9"/>
        <v>0</v>
      </c>
      <c r="G467" s="19"/>
    </row>
    <row r="468">
      <c r="B468" s="20"/>
      <c r="C468" s="12" t="s">
        <v>27</v>
      </c>
      <c r="D468" s="37">
        <f t="shared" si="8"/>
        <v>1</v>
      </c>
      <c r="E468" s="77">
        <v>8.0</v>
      </c>
      <c r="F468" s="37">
        <f t="shared" si="9"/>
        <v>0</v>
      </c>
      <c r="G468" s="19"/>
    </row>
    <row r="469">
      <c r="B469" s="20"/>
      <c r="C469" s="12" t="s">
        <v>107</v>
      </c>
      <c r="D469" s="37">
        <f t="shared" si="8"/>
        <v>1</v>
      </c>
      <c r="E469" s="77">
        <v>9.0</v>
      </c>
      <c r="F469" s="37">
        <f t="shared" si="9"/>
        <v>2</v>
      </c>
      <c r="G469" s="19"/>
    </row>
    <row r="470">
      <c r="B470" s="20"/>
      <c r="C470" s="12" t="s">
        <v>42</v>
      </c>
      <c r="D470" s="37">
        <f t="shared" si="8"/>
        <v>1</v>
      </c>
      <c r="E470" s="77">
        <v>10.0</v>
      </c>
      <c r="F470" s="37">
        <f t="shared" si="9"/>
        <v>0</v>
      </c>
      <c r="G470" s="19"/>
    </row>
    <row r="471">
      <c r="B471" s="20"/>
      <c r="C471" s="32" t="s">
        <v>42</v>
      </c>
      <c r="D471" s="37">
        <f t="shared" si="8"/>
        <v>1</v>
      </c>
      <c r="E471" s="77">
        <v>11.0</v>
      </c>
      <c r="F471" s="37">
        <f t="shared" si="9"/>
        <v>0</v>
      </c>
      <c r="G471" s="19"/>
    </row>
    <row r="472">
      <c r="B472" s="20"/>
      <c r="C472" s="12" t="s">
        <v>125</v>
      </c>
      <c r="D472" s="37">
        <f t="shared" si="8"/>
        <v>1</v>
      </c>
      <c r="E472" s="77">
        <v>12.0</v>
      </c>
      <c r="F472" s="37">
        <f t="shared" si="9"/>
        <v>7</v>
      </c>
      <c r="G472" s="19"/>
    </row>
    <row r="473">
      <c r="B473" s="20"/>
      <c r="C473" s="12" t="s">
        <v>27</v>
      </c>
      <c r="D473" s="37">
        <f t="shared" si="8"/>
        <v>1</v>
      </c>
      <c r="E473" s="77">
        <v>13.0</v>
      </c>
      <c r="F473" s="37">
        <f t="shared" si="9"/>
        <v>0</v>
      </c>
      <c r="G473" s="19"/>
    </row>
    <row r="474">
      <c r="B474" s="20"/>
      <c r="C474" s="12" t="s">
        <v>140</v>
      </c>
      <c r="D474" s="37">
        <f t="shared" si="8"/>
        <v>3</v>
      </c>
      <c r="E474" s="77">
        <v>14.0</v>
      </c>
      <c r="F474" s="37">
        <f t="shared" si="9"/>
        <v>0</v>
      </c>
      <c r="G474" s="19"/>
    </row>
    <row r="475">
      <c r="B475" s="20"/>
      <c r="C475" s="12" t="s">
        <v>27</v>
      </c>
      <c r="D475" s="37">
        <f t="shared" si="8"/>
        <v>1</v>
      </c>
      <c r="E475" s="77">
        <v>15.0</v>
      </c>
      <c r="F475" s="37">
        <f t="shared" si="9"/>
        <v>0</v>
      </c>
      <c r="G475" s="19"/>
    </row>
    <row r="476">
      <c r="B476" s="20"/>
      <c r="C476" s="12" t="s">
        <v>153</v>
      </c>
      <c r="D476" s="37">
        <f t="shared" si="8"/>
        <v>1</v>
      </c>
      <c r="E476" s="77">
        <v>16.0</v>
      </c>
      <c r="F476" s="37">
        <f t="shared" si="9"/>
        <v>0</v>
      </c>
      <c r="G476" s="19"/>
    </row>
    <row r="477">
      <c r="B477" s="20"/>
      <c r="C477" s="12" t="s">
        <v>42</v>
      </c>
      <c r="D477" s="37">
        <f t="shared" si="8"/>
        <v>1</v>
      </c>
      <c r="E477" s="37"/>
      <c r="F477" s="37">
        <f t="shared" si="9"/>
        <v>0</v>
      </c>
      <c r="G477" s="19"/>
    </row>
    <row r="478">
      <c r="B478" s="20"/>
      <c r="C478" s="12" t="s">
        <v>166</v>
      </c>
      <c r="D478" s="37">
        <f t="shared" si="8"/>
        <v>2</v>
      </c>
      <c r="E478" s="37"/>
      <c r="F478" s="37">
        <f t="shared" si="9"/>
        <v>0</v>
      </c>
      <c r="G478" s="19"/>
    </row>
    <row r="479">
      <c r="B479" s="20"/>
      <c r="C479" s="12" t="s">
        <v>173</v>
      </c>
      <c r="D479" s="37">
        <f t="shared" si="8"/>
        <v>1</v>
      </c>
      <c r="E479" s="37"/>
      <c r="F479" s="37">
        <f t="shared" si="9"/>
        <v>0</v>
      </c>
      <c r="G479" s="19"/>
    </row>
    <row r="480">
      <c r="B480" s="20"/>
      <c r="C480" s="12" t="s">
        <v>27</v>
      </c>
      <c r="D480" s="37">
        <f t="shared" si="8"/>
        <v>1</v>
      </c>
      <c r="E480" s="37"/>
      <c r="F480" s="37">
        <f t="shared" si="9"/>
        <v>0</v>
      </c>
      <c r="G480" s="19"/>
    </row>
    <row r="481">
      <c r="B481" s="20"/>
      <c r="C481" s="12" t="s">
        <v>27</v>
      </c>
      <c r="D481" s="37">
        <f t="shared" si="8"/>
        <v>1</v>
      </c>
      <c r="E481" s="37"/>
      <c r="F481" s="37">
        <f t="shared" si="9"/>
        <v>0</v>
      </c>
      <c r="G481" s="19"/>
    </row>
    <row r="482">
      <c r="B482" s="20"/>
      <c r="C482" s="12" t="s">
        <v>63</v>
      </c>
      <c r="D482" s="37">
        <f t="shared" si="8"/>
        <v>1</v>
      </c>
      <c r="E482" s="37"/>
      <c r="F482" s="37">
        <f t="shared" si="9"/>
        <v>0</v>
      </c>
      <c r="G482" s="19"/>
    </row>
    <row r="483">
      <c r="B483" s="20"/>
      <c r="C483" s="12" t="s">
        <v>63</v>
      </c>
      <c r="D483" s="37">
        <f t="shared" si="8"/>
        <v>1</v>
      </c>
      <c r="E483" s="37"/>
      <c r="F483" s="37">
        <f t="shared" si="9"/>
        <v>0</v>
      </c>
      <c r="G483" s="19"/>
    </row>
    <row r="484">
      <c r="B484" s="20"/>
      <c r="C484" s="12" t="s">
        <v>63</v>
      </c>
      <c r="D484" s="37">
        <f t="shared" si="8"/>
        <v>1</v>
      </c>
      <c r="E484" s="37"/>
      <c r="F484" s="37">
        <f t="shared" si="9"/>
        <v>0</v>
      </c>
      <c r="G484" s="19"/>
    </row>
    <row r="485">
      <c r="B485" s="20"/>
      <c r="C485" s="12" t="s">
        <v>204</v>
      </c>
      <c r="D485" s="37">
        <f t="shared" si="8"/>
        <v>1</v>
      </c>
      <c r="E485" s="37"/>
      <c r="F485" s="37">
        <f t="shared" si="9"/>
        <v>0</v>
      </c>
      <c r="G485" s="19"/>
    </row>
    <row r="486">
      <c r="B486" s="20"/>
      <c r="C486" s="12" t="s">
        <v>204</v>
      </c>
      <c r="D486" s="37">
        <f t="shared" si="8"/>
        <v>1</v>
      </c>
      <c r="E486" s="37"/>
      <c r="F486" s="37">
        <f t="shared" si="9"/>
        <v>0</v>
      </c>
      <c r="G486" s="19"/>
    </row>
    <row r="487">
      <c r="B487" s="20"/>
      <c r="C487" s="12" t="s">
        <v>107</v>
      </c>
      <c r="D487" s="37">
        <f t="shared" si="8"/>
        <v>1</v>
      </c>
      <c r="E487" s="37"/>
      <c r="F487" s="37">
        <f t="shared" si="9"/>
        <v>0</v>
      </c>
      <c r="G487" s="19"/>
    </row>
    <row r="488">
      <c r="B488" s="20"/>
      <c r="C488" s="12" t="s">
        <v>107</v>
      </c>
      <c r="D488" s="37">
        <f t="shared" si="8"/>
        <v>1</v>
      </c>
      <c r="E488" s="37"/>
      <c r="F488" s="37">
        <f t="shared" si="9"/>
        <v>0</v>
      </c>
      <c r="G488" s="19"/>
    </row>
    <row r="489">
      <c r="B489" s="20"/>
      <c r="C489" s="12" t="s">
        <v>63</v>
      </c>
      <c r="D489" s="37">
        <f t="shared" si="8"/>
        <v>1</v>
      </c>
      <c r="E489" s="37"/>
      <c r="F489" s="37">
        <f t="shared" si="9"/>
        <v>0</v>
      </c>
      <c r="G489" s="19"/>
    </row>
    <row r="490">
      <c r="B490" s="20"/>
      <c r="C490" s="12" t="s">
        <v>204</v>
      </c>
      <c r="D490" s="37">
        <f t="shared" si="8"/>
        <v>1</v>
      </c>
      <c r="E490" s="37"/>
      <c r="F490" s="37">
        <f t="shared" si="9"/>
        <v>0</v>
      </c>
      <c r="G490" s="19"/>
    </row>
    <row r="491">
      <c r="B491" s="20"/>
      <c r="C491" s="12" t="s">
        <v>240</v>
      </c>
      <c r="D491" s="37">
        <f t="shared" si="8"/>
        <v>1</v>
      </c>
      <c r="E491" s="37"/>
      <c r="F491" s="37">
        <f t="shared" si="9"/>
        <v>0</v>
      </c>
      <c r="G491" s="19"/>
    </row>
    <row r="492">
      <c r="B492" s="20"/>
      <c r="C492" s="12" t="s">
        <v>249</v>
      </c>
      <c r="D492" s="37">
        <f t="shared" si="8"/>
        <v>1</v>
      </c>
      <c r="E492" s="37"/>
      <c r="F492" s="37">
        <f t="shared" si="9"/>
        <v>0</v>
      </c>
      <c r="G492" s="19"/>
    </row>
    <row r="493">
      <c r="B493" s="20"/>
      <c r="C493" s="12" t="s">
        <v>125</v>
      </c>
      <c r="D493" s="37">
        <f t="shared" si="8"/>
        <v>1</v>
      </c>
      <c r="E493" s="37"/>
      <c r="F493" s="37">
        <f t="shared" si="9"/>
        <v>0</v>
      </c>
      <c r="G493" s="19"/>
    </row>
    <row r="494">
      <c r="B494" s="20"/>
      <c r="C494" s="12" t="s">
        <v>173</v>
      </c>
      <c r="D494" s="37">
        <f t="shared" si="8"/>
        <v>1</v>
      </c>
      <c r="E494" s="37"/>
      <c r="F494" s="37">
        <f t="shared" si="9"/>
        <v>0</v>
      </c>
      <c r="G494" s="19"/>
    </row>
    <row r="495">
      <c r="B495" s="20"/>
      <c r="C495" s="12" t="s">
        <v>173</v>
      </c>
      <c r="D495" s="37">
        <f t="shared" si="8"/>
        <v>1</v>
      </c>
      <c r="E495" s="37"/>
      <c r="F495" s="37">
        <f t="shared" si="9"/>
        <v>0</v>
      </c>
      <c r="G495" s="19"/>
    </row>
    <row r="496">
      <c r="B496" s="20"/>
      <c r="C496" s="12" t="s">
        <v>42</v>
      </c>
      <c r="D496" s="37">
        <f t="shared" si="8"/>
        <v>1</v>
      </c>
      <c r="E496" s="37"/>
      <c r="F496" s="37"/>
      <c r="G496" s="19"/>
    </row>
    <row r="497">
      <c r="B497" s="20"/>
      <c r="C497" s="12" t="s">
        <v>63</v>
      </c>
      <c r="D497" s="37">
        <f t="shared" si="8"/>
        <v>1</v>
      </c>
      <c r="E497" s="37"/>
      <c r="F497" s="37"/>
      <c r="G497" s="19"/>
    </row>
    <row r="498">
      <c r="B498" s="20"/>
      <c r="C498" s="12" t="s">
        <v>286</v>
      </c>
      <c r="D498" s="37">
        <f t="shared" si="8"/>
        <v>2</v>
      </c>
      <c r="E498" s="37"/>
      <c r="F498" s="37"/>
      <c r="G498" s="19"/>
    </row>
    <row r="499">
      <c r="B499" s="20"/>
      <c r="C499" s="12" t="s">
        <v>294</v>
      </c>
      <c r="D499" s="37">
        <f t="shared" si="8"/>
        <v>1</v>
      </c>
      <c r="E499" s="37"/>
      <c r="F499" s="37"/>
      <c r="G499" s="19"/>
    </row>
    <row r="500">
      <c r="B500" s="20"/>
      <c r="C500" s="12" t="s">
        <v>204</v>
      </c>
      <c r="D500" s="37">
        <f t="shared" si="8"/>
        <v>1</v>
      </c>
      <c r="E500" s="37"/>
      <c r="F500" s="37"/>
      <c r="G500" s="19"/>
    </row>
    <row r="501">
      <c r="B501" s="20"/>
      <c r="C501" s="12" t="s">
        <v>303</v>
      </c>
      <c r="D501" s="37">
        <f t="shared" si="8"/>
        <v>1</v>
      </c>
      <c r="E501" s="37"/>
      <c r="F501" s="37"/>
      <c r="G501" s="19"/>
    </row>
    <row r="502">
      <c r="B502" s="20"/>
      <c r="C502" s="12" t="s">
        <v>312</v>
      </c>
      <c r="D502" s="37">
        <f t="shared" si="8"/>
        <v>1</v>
      </c>
      <c r="E502" s="37"/>
      <c r="F502" s="37"/>
      <c r="G502" s="19"/>
    </row>
    <row r="503">
      <c r="B503" s="20"/>
      <c r="C503" s="12" t="s">
        <v>320</v>
      </c>
      <c r="D503" s="37">
        <f t="shared" si="8"/>
        <v>12</v>
      </c>
      <c r="E503" s="37"/>
      <c r="F503" s="37"/>
      <c r="G503" s="19"/>
    </row>
    <row r="504">
      <c r="B504" s="20"/>
      <c r="C504" s="12" t="s">
        <v>320</v>
      </c>
      <c r="D504" s="37">
        <f t="shared" si="8"/>
        <v>12</v>
      </c>
      <c r="E504" s="37"/>
      <c r="F504" s="37"/>
      <c r="G504" s="19"/>
    </row>
    <row r="505">
      <c r="B505" s="20"/>
      <c r="C505" s="12" t="s">
        <v>320</v>
      </c>
      <c r="D505" s="37">
        <f t="shared" si="8"/>
        <v>12</v>
      </c>
      <c r="E505" s="37"/>
      <c r="F505" s="37"/>
      <c r="G505" s="19"/>
    </row>
    <row r="506">
      <c r="B506" s="20"/>
      <c r="C506" s="12" t="s">
        <v>339</v>
      </c>
      <c r="D506" s="37">
        <f t="shared" si="8"/>
        <v>9</v>
      </c>
      <c r="E506" s="37"/>
      <c r="F506" s="37"/>
      <c r="G506" s="19"/>
    </row>
    <row r="507">
      <c r="B507" s="20"/>
      <c r="C507" s="12" t="s">
        <v>339</v>
      </c>
      <c r="D507" s="37">
        <f t="shared" si="8"/>
        <v>9</v>
      </c>
      <c r="E507" s="37"/>
      <c r="F507" s="37"/>
      <c r="G507" s="19"/>
    </row>
    <row r="508">
      <c r="B508" s="20"/>
      <c r="C508" s="12" t="s">
        <v>173</v>
      </c>
      <c r="D508" s="37">
        <f t="shared" si="8"/>
        <v>1</v>
      </c>
      <c r="E508" s="37"/>
      <c r="F508" s="37"/>
      <c r="G508" s="19"/>
    </row>
    <row r="509">
      <c r="B509" s="20"/>
      <c r="C509" s="12" t="s">
        <v>320</v>
      </c>
      <c r="D509" s="37">
        <f t="shared" si="8"/>
        <v>12</v>
      </c>
      <c r="E509" s="37"/>
      <c r="F509" s="37"/>
      <c r="G509" s="19"/>
    </row>
    <row r="510">
      <c r="B510" s="20"/>
      <c r="C510" s="12" t="s">
        <v>363</v>
      </c>
      <c r="D510" s="37">
        <f t="shared" si="8"/>
        <v>6</v>
      </c>
      <c r="E510" s="37"/>
      <c r="F510" s="37"/>
      <c r="G510" s="19"/>
    </row>
    <row r="511">
      <c r="B511" s="20"/>
      <c r="C511" s="12" t="s">
        <v>27</v>
      </c>
      <c r="D511" s="37">
        <f t="shared" si="8"/>
        <v>1</v>
      </c>
      <c r="E511" s="37"/>
      <c r="F511" s="37"/>
      <c r="G511" s="19"/>
    </row>
    <row r="512">
      <c r="B512" s="20"/>
      <c r="C512" s="12" t="s">
        <v>27</v>
      </c>
      <c r="D512" s="37">
        <f t="shared" si="8"/>
        <v>1</v>
      </c>
      <c r="E512" s="37"/>
      <c r="F512" s="37"/>
      <c r="G512" s="19"/>
    </row>
    <row r="513">
      <c r="B513" s="20"/>
      <c r="C513" s="12" t="s">
        <v>320</v>
      </c>
      <c r="D513" s="37">
        <f t="shared" si="8"/>
        <v>12</v>
      </c>
      <c r="E513" s="37"/>
      <c r="F513" s="37"/>
      <c r="G513" s="19"/>
    </row>
    <row r="514">
      <c r="B514" s="20"/>
      <c r="C514" s="12" t="s">
        <v>320</v>
      </c>
      <c r="D514" s="37">
        <f t="shared" si="8"/>
        <v>12</v>
      </c>
      <c r="E514" s="37"/>
      <c r="F514" s="37"/>
      <c r="G514" s="19"/>
    </row>
    <row r="515">
      <c r="B515" s="20"/>
      <c r="C515" s="12" t="s">
        <v>42</v>
      </c>
      <c r="D515" s="37">
        <f t="shared" si="8"/>
        <v>1</v>
      </c>
      <c r="E515" s="37"/>
      <c r="F515" s="37"/>
      <c r="G515" s="19"/>
    </row>
    <row r="516">
      <c r="B516" s="20"/>
      <c r="C516" s="12" t="s">
        <v>27</v>
      </c>
      <c r="D516" s="37">
        <f t="shared" si="8"/>
        <v>1</v>
      </c>
      <c r="E516" s="37"/>
      <c r="F516" s="37"/>
      <c r="G516" s="19"/>
    </row>
    <row r="517">
      <c r="B517" s="20"/>
      <c r="C517" s="12" t="s">
        <v>27</v>
      </c>
      <c r="D517" s="37">
        <f t="shared" si="8"/>
        <v>1</v>
      </c>
      <c r="E517" s="37"/>
      <c r="F517" s="37"/>
      <c r="G517" s="19"/>
    </row>
    <row r="518">
      <c r="B518" s="20"/>
      <c r="C518" s="12" t="s">
        <v>27</v>
      </c>
      <c r="D518" s="37">
        <f t="shared" si="8"/>
        <v>1</v>
      </c>
      <c r="E518" s="37"/>
      <c r="F518" s="37"/>
      <c r="G518" s="19"/>
    </row>
    <row r="519">
      <c r="B519" s="20"/>
      <c r="C519" s="12" t="s">
        <v>107</v>
      </c>
      <c r="D519" s="37">
        <f t="shared" si="8"/>
        <v>1</v>
      </c>
      <c r="E519" s="37"/>
      <c r="F519" s="37"/>
      <c r="G519" s="19"/>
    </row>
    <row r="520">
      <c r="B520" s="20"/>
      <c r="C520" s="12" t="s">
        <v>320</v>
      </c>
      <c r="D520" s="37">
        <f t="shared" si="8"/>
        <v>12</v>
      </c>
      <c r="E520" s="37"/>
      <c r="F520" s="37"/>
      <c r="G520" s="19"/>
    </row>
    <row r="521">
      <c r="B521" s="20"/>
      <c r="C521" s="12" t="s">
        <v>423</v>
      </c>
      <c r="D521" s="37">
        <f t="shared" si="8"/>
        <v>2</v>
      </c>
      <c r="E521" s="37"/>
      <c r="F521" s="37"/>
      <c r="G521" s="19"/>
    </row>
    <row r="522">
      <c r="B522" s="20"/>
      <c r="C522" s="12" t="s">
        <v>423</v>
      </c>
      <c r="D522" s="37">
        <f t="shared" si="8"/>
        <v>2</v>
      </c>
      <c r="E522" s="37"/>
      <c r="F522" s="37"/>
      <c r="G522" s="19"/>
    </row>
    <row r="523">
      <c r="B523" s="20"/>
      <c r="C523" s="20"/>
      <c r="D523" s="19"/>
      <c r="E523" s="19"/>
      <c r="F523" s="19"/>
      <c r="G523" s="19"/>
    </row>
    <row r="524">
      <c r="B524" s="20"/>
      <c r="C524" s="20"/>
      <c r="D524" s="19"/>
      <c r="E524" s="19"/>
      <c r="F524" s="19"/>
      <c r="G524" s="19"/>
    </row>
    <row r="525">
      <c r="B525" s="20"/>
      <c r="C525" s="20"/>
      <c r="D525" s="19"/>
      <c r="E525" s="19"/>
      <c r="F525" s="19"/>
      <c r="G525" s="19"/>
    </row>
    <row r="526">
      <c r="B526" s="20"/>
      <c r="C526" s="20"/>
      <c r="D526" s="19"/>
      <c r="E526" s="19"/>
      <c r="F526" s="19"/>
      <c r="G526" s="19"/>
    </row>
    <row r="527">
      <c r="B527" s="20"/>
      <c r="C527" s="20"/>
      <c r="D527" s="19"/>
      <c r="E527" s="19"/>
      <c r="F527" s="19"/>
      <c r="G527" s="19"/>
    </row>
    <row r="528">
      <c r="B528" s="20"/>
      <c r="C528" s="20"/>
      <c r="D528" s="19"/>
      <c r="E528" s="19"/>
      <c r="F528" s="19"/>
      <c r="G528" s="19"/>
    </row>
    <row r="529">
      <c r="B529" s="20"/>
      <c r="C529" s="20"/>
      <c r="D529" s="19"/>
      <c r="E529" s="19"/>
      <c r="F529" s="19"/>
      <c r="G529" s="19"/>
    </row>
    <row r="530">
      <c r="B530" s="20"/>
      <c r="C530" s="20"/>
      <c r="D530" s="19"/>
      <c r="E530" s="19"/>
      <c r="F530" s="19"/>
      <c r="G530" s="19"/>
    </row>
    <row r="531">
      <c r="B531" s="20"/>
      <c r="C531" s="20"/>
      <c r="D531" s="19"/>
      <c r="E531" s="19"/>
      <c r="F531" s="19"/>
      <c r="G531" s="19"/>
    </row>
    <row r="532">
      <c r="B532" s="20"/>
      <c r="C532" s="20"/>
      <c r="D532" s="19"/>
      <c r="E532" s="19"/>
      <c r="F532" s="19"/>
      <c r="G532" s="19"/>
    </row>
    <row r="533">
      <c r="B533" s="20"/>
      <c r="C533" s="20"/>
      <c r="D533" s="19"/>
      <c r="E533" s="19"/>
      <c r="F533" s="19"/>
      <c r="G533" s="19"/>
    </row>
    <row r="534">
      <c r="B534" s="20"/>
      <c r="C534" s="20"/>
      <c r="D534" s="19"/>
      <c r="E534" s="19"/>
      <c r="F534" s="19"/>
      <c r="G534" s="19"/>
    </row>
    <row r="535">
      <c r="B535" s="20"/>
      <c r="C535" s="20"/>
      <c r="D535" s="19"/>
      <c r="E535" s="19"/>
      <c r="F535" s="19"/>
      <c r="G535" s="19"/>
    </row>
    <row r="536">
      <c r="B536" s="20"/>
      <c r="C536" s="20"/>
      <c r="D536" s="19"/>
      <c r="E536" s="19"/>
      <c r="F536" s="19"/>
      <c r="G536" s="19"/>
    </row>
    <row r="537">
      <c r="B537" s="20"/>
      <c r="C537" s="20"/>
      <c r="D537" s="19"/>
      <c r="E537" s="19"/>
      <c r="F537" s="19"/>
      <c r="G537" s="19"/>
    </row>
    <row r="538">
      <c r="B538" s="20"/>
      <c r="C538" s="20"/>
      <c r="D538" s="19"/>
      <c r="E538" s="19"/>
      <c r="F538" s="19"/>
      <c r="G538" s="19"/>
    </row>
    <row r="539">
      <c r="B539" s="20"/>
      <c r="C539" s="20"/>
      <c r="D539" s="19"/>
      <c r="E539" s="19"/>
      <c r="F539" s="19"/>
      <c r="G539" s="19"/>
    </row>
    <row r="540">
      <c r="B540" s="20"/>
      <c r="C540" s="20"/>
      <c r="D540" s="19"/>
      <c r="E540" s="19"/>
      <c r="F540" s="19"/>
      <c r="G540" s="19"/>
    </row>
    <row r="541">
      <c r="B541" s="20"/>
      <c r="C541" s="20"/>
      <c r="D541" s="19"/>
      <c r="E541" s="19"/>
      <c r="F541" s="19"/>
      <c r="G541" s="19"/>
    </row>
    <row r="542">
      <c r="B542" s="20"/>
      <c r="C542" s="20"/>
      <c r="D542" s="19"/>
      <c r="E542" s="19"/>
      <c r="F542" s="19"/>
      <c r="G542" s="19"/>
    </row>
    <row r="543">
      <c r="B543" s="20"/>
      <c r="C543" s="20"/>
      <c r="D543" s="19"/>
      <c r="E543" s="19"/>
      <c r="F543" s="19"/>
      <c r="G543" s="19"/>
    </row>
    <row r="544">
      <c r="B544" s="20"/>
      <c r="C544" s="20"/>
      <c r="D544" s="19"/>
      <c r="E544" s="19"/>
      <c r="F544" s="19"/>
      <c r="G544" s="19"/>
    </row>
    <row r="545">
      <c r="B545" s="20"/>
      <c r="C545" s="20"/>
      <c r="D545" s="19"/>
      <c r="E545" s="19"/>
      <c r="F545" s="19"/>
      <c r="G545" s="19"/>
    </row>
    <row r="546">
      <c r="B546" s="20"/>
      <c r="C546" s="20"/>
      <c r="D546" s="19"/>
      <c r="E546" s="19"/>
      <c r="F546" s="19"/>
      <c r="G546" s="19"/>
    </row>
    <row r="547">
      <c r="B547" s="20"/>
      <c r="C547" s="20"/>
      <c r="D547" s="19"/>
      <c r="E547" s="19"/>
      <c r="F547" s="19"/>
      <c r="G547" s="19"/>
    </row>
    <row r="548">
      <c r="B548" s="20"/>
      <c r="C548" s="20"/>
      <c r="D548" s="19"/>
      <c r="E548" s="19"/>
      <c r="F548" s="19"/>
      <c r="G548" s="19"/>
    </row>
    <row r="549">
      <c r="B549" s="20"/>
      <c r="C549" s="20"/>
      <c r="D549" s="19"/>
      <c r="E549" s="19"/>
      <c r="F549" s="19"/>
      <c r="G549" s="19"/>
    </row>
    <row r="550">
      <c r="B550" s="20"/>
      <c r="C550" s="20"/>
      <c r="D550" s="19"/>
      <c r="E550" s="19"/>
      <c r="F550" s="19"/>
      <c r="G550" s="19"/>
    </row>
    <row r="551">
      <c r="B551" s="20"/>
      <c r="C551" s="20"/>
      <c r="D551" s="19"/>
      <c r="E551" s="19"/>
      <c r="F551" s="19"/>
      <c r="G551" s="19"/>
    </row>
    <row r="552">
      <c r="B552" s="20"/>
      <c r="C552" s="20"/>
      <c r="D552" s="19"/>
      <c r="E552" s="19"/>
      <c r="F552" s="19"/>
      <c r="G552" s="19"/>
    </row>
    <row r="553">
      <c r="B553" s="20"/>
      <c r="C553" s="20"/>
      <c r="D553" s="19"/>
      <c r="E553" s="19"/>
      <c r="F553" s="19"/>
      <c r="G553" s="19"/>
    </row>
    <row r="554">
      <c r="B554" s="20"/>
      <c r="C554" s="20"/>
      <c r="D554" s="19"/>
      <c r="E554" s="19"/>
      <c r="F554" s="19"/>
      <c r="G554" s="19"/>
    </row>
    <row r="555">
      <c r="B555" s="20"/>
      <c r="C555" s="20"/>
      <c r="D555" s="19"/>
      <c r="E555" s="19"/>
      <c r="F555" s="19"/>
      <c r="G555" s="19"/>
    </row>
    <row r="556">
      <c r="B556" s="20"/>
      <c r="C556" s="20"/>
      <c r="D556" s="19"/>
      <c r="E556" s="19"/>
      <c r="F556" s="19"/>
      <c r="G556" s="19"/>
    </row>
    <row r="557">
      <c r="B557" s="20"/>
      <c r="C557" s="20"/>
      <c r="D557" s="19"/>
      <c r="E557" s="19"/>
      <c r="F557" s="19"/>
      <c r="G557" s="19"/>
    </row>
    <row r="558">
      <c r="B558" s="20"/>
      <c r="C558" s="20"/>
      <c r="D558" s="19"/>
      <c r="E558" s="19"/>
      <c r="F558" s="19"/>
      <c r="G558" s="19"/>
    </row>
    <row r="559">
      <c r="B559" s="20"/>
      <c r="C559" s="20"/>
      <c r="D559" s="19"/>
      <c r="E559" s="19"/>
      <c r="F559" s="19"/>
      <c r="G559" s="19"/>
    </row>
    <row r="560">
      <c r="B560" s="20"/>
      <c r="C560" s="20"/>
      <c r="D560" s="19"/>
      <c r="E560" s="19"/>
      <c r="F560" s="19"/>
      <c r="G560" s="19"/>
    </row>
    <row r="561">
      <c r="B561" s="20"/>
      <c r="C561" s="20"/>
      <c r="D561" s="19"/>
      <c r="E561" s="19"/>
      <c r="F561" s="19"/>
      <c r="G561" s="19"/>
    </row>
    <row r="562">
      <c r="B562" s="20"/>
      <c r="C562" s="20"/>
      <c r="D562" s="19"/>
      <c r="E562" s="19"/>
      <c r="F562" s="19"/>
      <c r="G562" s="19"/>
    </row>
    <row r="563">
      <c r="B563" s="20"/>
      <c r="C563" s="20"/>
      <c r="D563" s="19"/>
      <c r="E563" s="19"/>
      <c r="F563" s="19"/>
      <c r="G563" s="19"/>
    </row>
    <row r="564">
      <c r="B564" s="20"/>
      <c r="C564" s="20"/>
      <c r="D564" s="19"/>
      <c r="E564" s="19"/>
      <c r="F564" s="19"/>
      <c r="G564" s="19"/>
    </row>
    <row r="565">
      <c r="B565" s="20"/>
      <c r="C565" s="20"/>
      <c r="D565" s="19"/>
      <c r="E565" s="19"/>
      <c r="F565" s="19"/>
      <c r="G565" s="19"/>
    </row>
    <row r="566">
      <c r="B566" s="20"/>
      <c r="C566" s="20"/>
      <c r="D566" s="19"/>
      <c r="E566" s="19"/>
      <c r="F566" s="19"/>
      <c r="G566" s="19"/>
    </row>
    <row r="567">
      <c r="B567" s="20"/>
      <c r="C567" s="20"/>
      <c r="D567" s="19"/>
      <c r="E567" s="19"/>
      <c r="F567" s="19"/>
      <c r="G567" s="19"/>
    </row>
    <row r="568">
      <c r="B568" s="20"/>
      <c r="C568" s="20"/>
      <c r="D568" s="19"/>
      <c r="E568" s="19"/>
      <c r="F568" s="19"/>
      <c r="G568" s="19"/>
    </row>
    <row r="569">
      <c r="B569" s="20"/>
      <c r="C569" s="20"/>
      <c r="D569" s="19"/>
      <c r="E569" s="19"/>
      <c r="F569" s="19"/>
      <c r="G569" s="19"/>
    </row>
    <row r="570">
      <c r="B570" s="20"/>
      <c r="C570" s="20"/>
      <c r="D570" s="19"/>
      <c r="E570" s="19"/>
      <c r="F570" s="19"/>
      <c r="G570" s="19"/>
    </row>
    <row r="571">
      <c r="B571" s="20"/>
      <c r="C571" s="20"/>
      <c r="D571" s="19"/>
      <c r="E571" s="19"/>
      <c r="F571" s="19"/>
      <c r="G571" s="19"/>
    </row>
    <row r="572">
      <c r="B572" s="20"/>
      <c r="C572" s="20"/>
      <c r="D572" s="19"/>
      <c r="E572" s="19"/>
      <c r="F572" s="19"/>
      <c r="G572" s="19"/>
    </row>
    <row r="573">
      <c r="B573" s="20"/>
      <c r="C573" s="20"/>
      <c r="D573" s="19"/>
      <c r="E573" s="19"/>
      <c r="F573" s="19"/>
      <c r="G573" s="19"/>
    </row>
    <row r="574">
      <c r="B574" s="20"/>
      <c r="C574" s="20"/>
      <c r="D574" s="19"/>
      <c r="E574" s="19"/>
      <c r="F574" s="19"/>
      <c r="G574" s="19"/>
    </row>
    <row r="575">
      <c r="B575" s="20"/>
      <c r="C575" s="20"/>
      <c r="D575" s="19"/>
      <c r="E575" s="19"/>
      <c r="F575" s="19"/>
      <c r="G575" s="19"/>
    </row>
    <row r="576">
      <c r="B576" s="20"/>
      <c r="C576" s="20"/>
      <c r="D576" s="19"/>
      <c r="E576" s="19"/>
      <c r="F576" s="19"/>
      <c r="G576" s="19"/>
    </row>
    <row r="577">
      <c r="B577" s="20"/>
      <c r="C577" s="20"/>
      <c r="D577" s="19"/>
      <c r="E577" s="19"/>
      <c r="F577" s="19"/>
      <c r="G577" s="19"/>
    </row>
    <row r="578">
      <c r="B578" s="20"/>
      <c r="C578" s="20"/>
      <c r="D578" s="19"/>
      <c r="E578" s="19"/>
      <c r="F578" s="19"/>
      <c r="G578" s="19"/>
    </row>
    <row r="579">
      <c r="B579" s="20"/>
      <c r="C579" s="20"/>
      <c r="D579" s="19"/>
      <c r="E579" s="19"/>
      <c r="F579" s="19"/>
      <c r="G579" s="19"/>
    </row>
    <row r="580">
      <c r="B580" s="20"/>
      <c r="C580" s="20"/>
      <c r="D580" s="19"/>
      <c r="E580" s="19"/>
      <c r="F580" s="19"/>
      <c r="G580" s="19"/>
    </row>
    <row r="581">
      <c r="B581" s="20"/>
      <c r="C581" s="20"/>
      <c r="D581" s="19"/>
      <c r="E581" s="19"/>
      <c r="F581" s="19"/>
      <c r="G581" s="19"/>
    </row>
    <row r="582">
      <c r="B582" s="20"/>
      <c r="C582" s="20"/>
      <c r="D582" s="19"/>
      <c r="E582" s="19"/>
      <c r="F582" s="19"/>
      <c r="G582" s="19"/>
    </row>
    <row r="583">
      <c r="B583" s="20"/>
      <c r="C583" s="20"/>
      <c r="D583" s="19"/>
      <c r="E583" s="19"/>
      <c r="F583" s="19"/>
      <c r="G583" s="19"/>
    </row>
    <row r="584">
      <c r="B584" s="20"/>
      <c r="C584" s="20"/>
      <c r="D584" s="19"/>
      <c r="E584" s="19"/>
      <c r="F584" s="19"/>
      <c r="G584" s="19"/>
    </row>
    <row r="585">
      <c r="B585" s="20"/>
      <c r="C585" s="20"/>
      <c r="D585" s="19"/>
      <c r="E585" s="19"/>
      <c r="F585" s="19"/>
      <c r="G585" s="19"/>
    </row>
    <row r="586">
      <c r="B586" s="20"/>
      <c r="C586" s="20"/>
      <c r="D586" s="19"/>
      <c r="E586" s="19"/>
      <c r="F586" s="19"/>
      <c r="G586" s="19"/>
    </row>
    <row r="587">
      <c r="B587" s="20"/>
      <c r="C587" s="20"/>
      <c r="D587" s="19"/>
      <c r="E587" s="19"/>
      <c r="F587" s="19"/>
      <c r="G587" s="19"/>
    </row>
    <row r="588">
      <c r="B588" s="20"/>
      <c r="C588" s="20"/>
      <c r="D588" s="19"/>
      <c r="E588" s="19"/>
      <c r="F588" s="19"/>
      <c r="G588" s="19"/>
    </row>
    <row r="589">
      <c r="B589" s="20"/>
      <c r="C589" s="20"/>
      <c r="D589" s="19"/>
      <c r="E589" s="19"/>
      <c r="F589" s="19"/>
      <c r="G589" s="19"/>
    </row>
    <row r="590">
      <c r="B590" s="20"/>
      <c r="C590" s="20"/>
      <c r="D590" s="19"/>
      <c r="E590" s="19"/>
      <c r="F590" s="19"/>
      <c r="G590" s="19"/>
    </row>
    <row r="591">
      <c r="B591" s="20"/>
      <c r="C591" s="20"/>
      <c r="D591" s="19"/>
      <c r="E591" s="19"/>
      <c r="F591" s="19"/>
      <c r="G591" s="19"/>
    </row>
    <row r="592">
      <c r="B592" s="20"/>
      <c r="C592" s="20"/>
      <c r="D592" s="19"/>
      <c r="E592" s="19"/>
      <c r="F592" s="19"/>
      <c r="G592" s="19"/>
    </row>
    <row r="593">
      <c r="B593" s="20"/>
      <c r="C593" s="20"/>
      <c r="D593" s="19"/>
      <c r="E593" s="19"/>
      <c r="F593" s="19"/>
      <c r="G593" s="19"/>
    </row>
    <row r="594">
      <c r="B594" s="20"/>
      <c r="C594" s="20"/>
      <c r="D594" s="19"/>
      <c r="E594" s="19"/>
      <c r="F594" s="19"/>
      <c r="G594" s="19"/>
    </row>
    <row r="595">
      <c r="B595" s="20"/>
      <c r="C595" s="20"/>
      <c r="D595" s="19"/>
      <c r="E595" s="19"/>
      <c r="F595" s="19"/>
      <c r="G595" s="19"/>
    </row>
    <row r="596">
      <c r="B596" s="20"/>
      <c r="C596" s="20"/>
      <c r="D596" s="19"/>
      <c r="E596" s="19"/>
      <c r="F596" s="19"/>
      <c r="G596" s="19"/>
    </row>
    <row r="597">
      <c r="B597" s="20"/>
      <c r="C597" s="20"/>
      <c r="D597" s="19"/>
      <c r="E597" s="19"/>
      <c r="F597" s="19"/>
      <c r="G597" s="19"/>
    </row>
    <row r="598">
      <c r="B598" s="20"/>
      <c r="C598" s="20"/>
      <c r="D598" s="19"/>
      <c r="E598" s="19"/>
      <c r="F598" s="19"/>
      <c r="G598" s="19"/>
    </row>
    <row r="599">
      <c r="B599" s="20"/>
      <c r="C599" s="20"/>
      <c r="D599" s="19"/>
      <c r="E599" s="19"/>
      <c r="F599" s="19"/>
      <c r="G599" s="19"/>
    </row>
    <row r="600">
      <c r="B600" s="20"/>
      <c r="C600" s="20"/>
      <c r="D600" s="19"/>
      <c r="E600" s="19"/>
      <c r="F600" s="19"/>
      <c r="G600" s="19"/>
    </row>
    <row r="601">
      <c r="B601" s="20"/>
      <c r="C601" s="20"/>
      <c r="D601" s="19"/>
      <c r="E601" s="19"/>
      <c r="F601" s="19"/>
      <c r="G601" s="19"/>
    </row>
    <row r="602">
      <c r="B602" s="20"/>
      <c r="C602" s="20"/>
      <c r="D602" s="19"/>
      <c r="E602" s="19"/>
      <c r="F602" s="19"/>
      <c r="G602" s="19"/>
    </row>
    <row r="603">
      <c r="B603" s="20"/>
      <c r="C603" s="20"/>
      <c r="D603" s="19"/>
      <c r="E603" s="19"/>
      <c r="F603" s="19"/>
      <c r="G603" s="19"/>
    </row>
    <row r="604">
      <c r="B604" s="20"/>
      <c r="C604" s="20"/>
      <c r="D604" s="19"/>
      <c r="E604" s="19"/>
      <c r="F604" s="19"/>
      <c r="G604" s="19"/>
    </row>
    <row r="605">
      <c r="B605" s="20"/>
      <c r="C605" s="20"/>
      <c r="D605" s="19"/>
      <c r="E605" s="19"/>
      <c r="F605" s="19"/>
      <c r="G605" s="19"/>
    </row>
    <row r="606">
      <c r="B606" s="20"/>
      <c r="C606" s="20"/>
      <c r="D606" s="19"/>
      <c r="E606" s="19"/>
      <c r="F606" s="19"/>
      <c r="G606" s="19"/>
    </row>
    <row r="607">
      <c r="B607" s="20"/>
      <c r="C607" s="20"/>
      <c r="D607" s="19"/>
      <c r="E607" s="19"/>
      <c r="F607" s="19"/>
      <c r="G607" s="19"/>
    </row>
    <row r="608">
      <c r="B608" s="20"/>
      <c r="C608" s="20"/>
      <c r="D608" s="19"/>
      <c r="E608" s="19"/>
      <c r="F608" s="19"/>
      <c r="G608" s="19"/>
    </row>
    <row r="609">
      <c r="B609" s="20"/>
      <c r="C609" s="20"/>
      <c r="D609" s="19"/>
      <c r="E609" s="19"/>
      <c r="F609" s="19"/>
      <c r="G609" s="19"/>
    </row>
    <row r="610">
      <c r="B610" s="20"/>
      <c r="C610" s="20"/>
      <c r="D610" s="19"/>
      <c r="E610" s="19"/>
      <c r="F610" s="19"/>
      <c r="G610" s="19"/>
    </row>
    <row r="611">
      <c r="B611" s="20"/>
      <c r="C611" s="20"/>
      <c r="D611" s="19"/>
      <c r="E611" s="19"/>
      <c r="F611" s="19"/>
      <c r="G611" s="19"/>
    </row>
    <row r="612">
      <c r="B612" s="20"/>
      <c r="C612" s="20"/>
      <c r="D612" s="19"/>
      <c r="E612" s="19"/>
      <c r="F612" s="19"/>
      <c r="G612" s="19"/>
    </row>
    <row r="613">
      <c r="B613" s="20"/>
      <c r="C613" s="20"/>
      <c r="D613" s="19"/>
      <c r="E613" s="19"/>
      <c r="F613" s="19"/>
      <c r="G613" s="19"/>
    </row>
    <row r="614">
      <c r="B614" s="20"/>
      <c r="C614" s="20"/>
      <c r="D614" s="19"/>
      <c r="E614" s="19"/>
      <c r="F614" s="19"/>
      <c r="G614" s="19"/>
    </row>
    <row r="615">
      <c r="B615" s="20"/>
      <c r="C615" s="20"/>
      <c r="D615" s="19"/>
      <c r="E615" s="19"/>
      <c r="F615" s="19"/>
      <c r="G615" s="19"/>
    </row>
    <row r="616">
      <c r="B616" s="20"/>
      <c r="C616" s="20"/>
      <c r="D616" s="19"/>
      <c r="E616" s="19"/>
      <c r="F616" s="19"/>
      <c r="G616" s="19"/>
    </row>
    <row r="617">
      <c r="B617" s="20"/>
      <c r="C617" s="20"/>
      <c r="D617" s="19"/>
      <c r="E617" s="19"/>
      <c r="F617" s="19"/>
      <c r="G617" s="19"/>
    </row>
    <row r="618">
      <c r="B618" s="20"/>
      <c r="C618" s="20"/>
      <c r="D618" s="19"/>
      <c r="E618" s="19"/>
      <c r="F618" s="19"/>
      <c r="G618" s="19"/>
    </row>
    <row r="619">
      <c r="B619" s="20"/>
      <c r="C619" s="20"/>
      <c r="D619" s="19"/>
      <c r="E619" s="19"/>
      <c r="F619" s="19"/>
      <c r="G619" s="19"/>
    </row>
    <row r="620">
      <c r="B620" s="20"/>
      <c r="C620" s="20"/>
      <c r="D620" s="19"/>
      <c r="E620" s="19"/>
      <c r="F620" s="19"/>
      <c r="G620" s="19"/>
    </row>
    <row r="621">
      <c r="B621" s="20"/>
      <c r="C621" s="20"/>
      <c r="D621" s="19"/>
      <c r="E621" s="19"/>
      <c r="F621" s="19"/>
      <c r="G621" s="19"/>
    </row>
    <row r="622">
      <c r="B622" s="20"/>
      <c r="C622" s="20"/>
      <c r="D622" s="19"/>
      <c r="E622" s="19"/>
      <c r="F622" s="19"/>
      <c r="G622" s="19"/>
    </row>
    <row r="623">
      <c r="B623" s="20"/>
      <c r="C623" s="20"/>
      <c r="D623" s="19"/>
      <c r="E623" s="19"/>
      <c r="F623" s="19"/>
      <c r="G623" s="19"/>
    </row>
    <row r="624">
      <c r="B624" s="20"/>
      <c r="C624" s="20"/>
      <c r="D624" s="19"/>
      <c r="E624" s="19"/>
      <c r="F624" s="19"/>
      <c r="G624" s="19"/>
    </row>
    <row r="625">
      <c r="B625" s="20"/>
      <c r="C625" s="20"/>
      <c r="D625" s="19"/>
      <c r="E625" s="19"/>
      <c r="F625" s="19"/>
      <c r="G625" s="19"/>
    </row>
    <row r="626">
      <c r="B626" s="20"/>
      <c r="C626" s="20"/>
      <c r="D626" s="19"/>
      <c r="E626" s="19"/>
      <c r="F626" s="19"/>
      <c r="G626" s="19"/>
    </row>
    <row r="627">
      <c r="B627" s="20"/>
      <c r="C627" s="20"/>
      <c r="D627" s="19"/>
      <c r="E627" s="19"/>
      <c r="F627" s="19"/>
      <c r="G627" s="19"/>
    </row>
    <row r="628">
      <c r="B628" s="20"/>
      <c r="C628" s="20"/>
      <c r="D628" s="19"/>
      <c r="E628" s="19"/>
      <c r="F628" s="19"/>
      <c r="G628" s="19"/>
    </row>
    <row r="629">
      <c r="B629" s="20"/>
      <c r="C629" s="20"/>
      <c r="D629" s="19"/>
      <c r="E629" s="19"/>
      <c r="F629" s="19"/>
      <c r="G629" s="19"/>
    </row>
    <row r="630">
      <c r="B630" s="20"/>
      <c r="C630" s="20"/>
      <c r="D630" s="19"/>
      <c r="E630" s="19"/>
      <c r="F630" s="19"/>
      <c r="G630" s="19"/>
    </row>
    <row r="631">
      <c r="B631" s="20"/>
      <c r="C631" s="20"/>
      <c r="D631" s="19"/>
      <c r="E631" s="19"/>
      <c r="F631" s="19"/>
      <c r="G631" s="19"/>
    </row>
    <row r="632">
      <c r="B632" s="20"/>
      <c r="C632" s="20"/>
      <c r="D632" s="19"/>
      <c r="E632" s="19"/>
      <c r="F632" s="19"/>
      <c r="G632" s="19"/>
    </row>
    <row r="633">
      <c r="B633" s="20"/>
      <c r="C633" s="20"/>
      <c r="D633" s="19"/>
      <c r="E633" s="19"/>
      <c r="F633" s="19"/>
      <c r="G633" s="19"/>
    </row>
    <row r="634">
      <c r="B634" s="20"/>
      <c r="C634" s="20"/>
      <c r="D634" s="19"/>
      <c r="E634" s="19"/>
      <c r="F634" s="19"/>
      <c r="G634" s="19"/>
    </row>
    <row r="635">
      <c r="B635" s="20"/>
      <c r="C635" s="20"/>
      <c r="D635" s="19"/>
      <c r="E635" s="19"/>
      <c r="F635" s="19"/>
      <c r="G635" s="19"/>
    </row>
    <row r="636">
      <c r="B636" s="20"/>
      <c r="C636" s="20"/>
      <c r="D636" s="19"/>
      <c r="E636" s="19"/>
      <c r="F636" s="19"/>
      <c r="G636" s="19"/>
    </row>
    <row r="637">
      <c r="B637" s="20"/>
      <c r="C637" s="20"/>
      <c r="D637" s="19"/>
      <c r="E637" s="19"/>
      <c r="F637" s="19"/>
      <c r="G637" s="19"/>
    </row>
    <row r="638">
      <c r="B638" s="20"/>
      <c r="C638" s="20"/>
      <c r="D638" s="19"/>
      <c r="E638" s="19"/>
      <c r="F638" s="19"/>
      <c r="G638" s="19"/>
    </row>
    <row r="639">
      <c r="B639" s="20"/>
      <c r="C639" s="20"/>
      <c r="D639" s="19"/>
      <c r="E639" s="19"/>
      <c r="F639" s="19"/>
      <c r="G639" s="19"/>
    </row>
    <row r="640">
      <c r="B640" s="20"/>
      <c r="C640" s="20"/>
      <c r="D640" s="19"/>
      <c r="E640" s="19"/>
      <c r="F640" s="19"/>
      <c r="G640" s="19"/>
    </row>
    <row r="641">
      <c r="B641" s="20"/>
      <c r="C641" s="20"/>
      <c r="D641" s="19"/>
      <c r="E641" s="19"/>
      <c r="F641" s="19"/>
      <c r="G641" s="19"/>
    </row>
    <row r="642">
      <c r="B642" s="20"/>
      <c r="C642" s="20"/>
      <c r="D642" s="19"/>
      <c r="E642" s="19"/>
      <c r="F642" s="19"/>
      <c r="G642" s="19"/>
    </row>
    <row r="643">
      <c r="B643" s="20"/>
      <c r="C643" s="20"/>
      <c r="D643" s="19"/>
      <c r="E643" s="19"/>
      <c r="F643" s="19"/>
      <c r="G643" s="19"/>
    </row>
    <row r="644">
      <c r="B644" s="20"/>
      <c r="C644" s="20"/>
      <c r="D644" s="19"/>
      <c r="E644" s="19"/>
      <c r="F644" s="19"/>
      <c r="G644" s="19"/>
    </row>
    <row r="645">
      <c r="B645" s="20"/>
      <c r="C645" s="20"/>
      <c r="D645" s="19"/>
      <c r="E645" s="19"/>
      <c r="F645" s="19"/>
      <c r="G645" s="19"/>
    </row>
    <row r="646">
      <c r="B646" s="20"/>
      <c r="C646" s="20"/>
      <c r="D646" s="19"/>
      <c r="E646" s="19"/>
      <c r="F646" s="19"/>
      <c r="G646" s="19"/>
    </row>
    <row r="647">
      <c r="B647" s="20"/>
      <c r="C647" s="20"/>
      <c r="D647" s="19"/>
      <c r="E647" s="19"/>
      <c r="F647" s="19"/>
      <c r="G647" s="19"/>
    </row>
    <row r="648">
      <c r="B648" s="20"/>
      <c r="C648" s="20"/>
      <c r="D648" s="19"/>
      <c r="E648" s="19"/>
      <c r="F648" s="19"/>
      <c r="G648" s="19"/>
    </row>
    <row r="649">
      <c r="B649" s="20"/>
      <c r="C649" s="20"/>
      <c r="D649" s="19"/>
      <c r="E649" s="19"/>
      <c r="F649" s="19"/>
      <c r="G649" s="19"/>
    </row>
    <row r="650">
      <c r="B650" s="20"/>
      <c r="C650" s="20"/>
      <c r="D650" s="19"/>
      <c r="E650" s="19"/>
      <c r="F650" s="19"/>
      <c r="G650" s="19"/>
    </row>
    <row r="651">
      <c r="B651" s="20"/>
      <c r="C651" s="20"/>
      <c r="D651" s="19"/>
      <c r="E651" s="19"/>
      <c r="F651" s="19"/>
      <c r="G651" s="19"/>
    </row>
    <row r="652">
      <c r="B652" s="20"/>
      <c r="C652" s="20"/>
      <c r="D652" s="19"/>
      <c r="E652" s="19"/>
      <c r="F652" s="19"/>
      <c r="G652" s="19"/>
    </row>
    <row r="653">
      <c r="B653" s="20"/>
      <c r="C653" s="20"/>
      <c r="D653" s="19"/>
      <c r="E653" s="19"/>
      <c r="F653" s="19"/>
      <c r="G653" s="19"/>
    </row>
    <row r="654">
      <c r="B654" s="20"/>
      <c r="C654" s="20"/>
      <c r="D654" s="19"/>
      <c r="E654" s="19"/>
      <c r="F654" s="19"/>
      <c r="G654" s="19"/>
    </row>
    <row r="655">
      <c r="B655" s="20"/>
      <c r="C655" s="20"/>
      <c r="D655" s="19"/>
      <c r="E655" s="19"/>
      <c r="F655" s="19"/>
      <c r="G655" s="19"/>
    </row>
    <row r="656">
      <c r="B656" s="20"/>
      <c r="C656" s="20"/>
      <c r="D656" s="19"/>
      <c r="E656" s="19"/>
      <c r="F656" s="19"/>
      <c r="G656" s="19"/>
    </row>
    <row r="657">
      <c r="B657" s="20"/>
      <c r="C657" s="20"/>
      <c r="D657" s="19"/>
      <c r="E657" s="19"/>
      <c r="F657" s="19"/>
      <c r="G657" s="19"/>
    </row>
    <row r="658">
      <c r="B658" s="20"/>
      <c r="C658" s="20"/>
      <c r="D658" s="19"/>
      <c r="E658" s="19"/>
      <c r="F658" s="19"/>
      <c r="G658" s="19"/>
    </row>
    <row r="659">
      <c r="B659" s="20"/>
      <c r="C659" s="20"/>
      <c r="D659" s="19"/>
      <c r="E659" s="19"/>
      <c r="F659" s="19"/>
      <c r="G659" s="19"/>
    </row>
    <row r="660">
      <c r="B660" s="20"/>
      <c r="C660" s="20"/>
      <c r="D660" s="19"/>
      <c r="E660" s="19"/>
      <c r="F660" s="19"/>
      <c r="G660" s="19"/>
    </row>
    <row r="661">
      <c r="B661" s="20"/>
      <c r="C661" s="20"/>
      <c r="D661" s="19"/>
      <c r="E661" s="19"/>
      <c r="F661" s="19"/>
      <c r="G661" s="19"/>
    </row>
    <row r="662">
      <c r="B662" s="20"/>
      <c r="C662" s="20"/>
      <c r="D662" s="19"/>
      <c r="E662" s="19"/>
      <c r="F662" s="19"/>
      <c r="G662" s="19"/>
    </row>
    <row r="663">
      <c r="B663" s="20"/>
      <c r="C663" s="20"/>
      <c r="D663" s="19"/>
      <c r="E663" s="19"/>
      <c r="F663" s="19"/>
      <c r="G663" s="19"/>
    </row>
    <row r="664">
      <c r="B664" s="20"/>
      <c r="C664" s="20"/>
      <c r="D664" s="19"/>
      <c r="E664" s="19"/>
      <c r="F664" s="19"/>
      <c r="G664" s="19"/>
    </row>
    <row r="665">
      <c r="B665" s="20"/>
      <c r="C665" s="20"/>
      <c r="D665" s="19"/>
      <c r="E665" s="19"/>
      <c r="F665" s="19"/>
      <c r="G665" s="19"/>
    </row>
    <row r="666">
      <c r="B666" s="20"/>
      <c r="C666" s="20"/>
      <c r="D666" s="19"/>
      <c r="E666" s="19"/>
      <c r="F666" s="19"/>
      <c r="G666" s="19"/>
    </row>
    <row r="667">
      <c r="B667" s="20"/>
      <c r="C667" s="20"/>
      <c r="D667" s="19"/>
      <c r="E667" s="19"/>
      <c r="F667" s="19"/>
      <c r="G667" s="19"/>
    </row>
    <row r="668">
      <c r="B668" s="20"/>
      <c r="C668" s="20"/>
      <c r="D668" s="19"/>
      <c r="E668" s="19"/>
      <c r="F668" s="19"/>
      <c r="G668" s="19"/>
    </row>
    <row r="669">
      <c r="B669" s="20"/>
      <c r="C669" s="20"/>
      <c r="D669" s="19"/>
      <c r="E669" s="19"/>
      <c r="F669" s="19"/>
      <c r="G669" s="19"/>
    </row>
    <row r="670">
      <c r="B670" s="20"/>
      <c r="C670" s="20"/>
      <c r="D670" s="19"/>
      <c r="E670" s="19"/>
      <c r="F670" s="19"/>
      <c r="G670" s="19"/>
    </row>
    <row r="671">
      <c r="B671" s="20"/>
      <c r="C671" s="20"/>
      <c r="D671" s="19"/>
      <c r="E671" s="19"/>
      <c r="F671" s="19"/>
      <c r="G671" s="19"/>
    </row>
    <row r="672">
      <c r="B672" s="20"/>
      <c r="C672" s="20"/>
      <c r="D672" s="19"/>
      <c r="E672" s="19"/>
      <c r="F672" s="19"/>
      <c r="G672" s="19"/>
    </row>
    <row r="673">
      <c r="B673" s="20"/>
      <c r="C673" s="20"/>
      <c r="D673" s="19"/>
      <c r="E673" s="19"/>
      <c r="F673" s="19"/>
      <c r="G673" s="19"/>
    </row>
    <row r="674">
      <c r="B674" s="20"/>
      <c r="C674" s="20"/>
      <c r="D674" s="19"/>
      <c r="E674" s="19"/>
      <c r="F674" s="19"/>
      <c r="G674" s="19"/>
    </row>
    <row r="675">
      <c r="B675" s="20"/>
      <c r="C675" s="20"/>
      <c r="D675" s="19"/>
      <c r="E675" s="19"/>
      <c r="F675" s="19"/>
      <c r="G675" s="19"/>
    </row>
    <row r="676">
      <c r="B676" s="20"/>
      <c r="C676" s="20"/>
      <c r="D676" s="19"/>
      <c r="E676" s="19"/>
      <c r="F676" s="19"/>
      <c r="G676" s="19"/>
    </row>
    <row r="677">
      <c r="B677" s="20"/>
      <c r="C677" s="20"/>
      <c r="D677" s="19"/>
      <c r="E677" s="19"/>
      <c r="F677" s="19"/>
      <c r="G677" s="19"/>
    </row>
    <row r="678">
      <c r="B678" s="20"/>
      <c r="C678" s="20"/>
      <c r="D678" s="19"/>
      <c r="E678" s="19"/>
      <c r="F678" s="19"/>
      <c r="G678" s="19"/>
    </row>
    <row r="679">
      <c r="B679" s="20"/>
      <c r="C679" s="20"/>
      <c r="D679" s="19"/>
      <c r="E679" s="19"/>
      <c r="F679" s="19"/>
      <c r="G679" s="19"/>
    </row>
    <row r="680">
      <c r="B680" s="20"/>
      <c r="C680" s="20"/>
      <c r="D680" s="19"/>
      <c r="E680" s="19"/>
      <c r="F680" s="19"/>
      <c r="G680" s="19"/>
    </row>
    <row r="681">
      <c r="B681" s="20"/>
      <c r="C681" s="20"/>
      <c r="D681" s="19"/>
      <c r="E681" s="19"/>
      <c r="F681" s="19"/>
      <c r="G681" s="19"/>
    </row>
    <row r="682">
      <c r="B682" s="20"/>
      <c r="C682" s="20"/>
      <c r="D682" s="19"/>
      <c r="E682" s="19"/>
      <c r="F682" s="19"/>
      <c r="G682" s="19"/>
    </row>
    <row r="683">
      <c r="B683" s="20"/>
      <c r="C683" s="20"/>
      <c r="D683" s="19"/>
      <c r="E683" s="19"/>
      <c r="F683" s="19"/>
      <c r="G683" s="19"/>
    </row>
    <row r="684">
      <c r="B684" s="20"/>
      <c r="C684" s="20"/>
      <c r="D684" s="19"/>
      <c r="E684" s="19"/>
      <c r="F684" s="19"/>
      <c r="G684" s="19"/>
    </row>
    <row r="685">
      <c r="B685" s="20"/>
      <c r="C685" s="20"/>
      <c r="D685" s="19"/>
      <c r="E685" s="19"/>
      <c r="F685" s="19"/>
      <c r="G685" s="19"/>
    </row>
    <row r="686">
      <c r="B686" s="20"/>
      <c r="C686" s="20"/>
      <c r="D686" s="19"/>
      <c r="E686" s="19"/>
      <c r="F686" s="19"/>
      <c r="G686" s="19"/>
    </row>
    <row r="687">
      <c r="B687" s="20"/>
      <c r="C687" s="20"/>
      <c r="D687" s="19"/>
      <c r="E687" s="19"/>
      <c r="F687" s="19"/>
      <c r="G687" s="19"/>
    </row>
    <row r="688">
      <c r="B688" s="20"/>
      <c r="C688" s="20"/>
      <c r="D688" s="19"/>
      <c r="E688" s="19"/>
      <c r="F688" s="19"/>
      <c r="G688" s="19"/>
    </row>
    <row r="689">
      <c r="B689" s="20"/>
      <c r="C689" s="20"/>
      <c r="D689" s="19"/>
      <c r="E689" s="19"/>
      <c r="F689" s="19"/>
      <c r="G689" s="19"/>
    </row>
    <row r="690">
      <c r="B690" s="20"/>
      <c r="C690" s="20"/>
      <c r="D690" s="19"/>
      <c r="E690" s="19"/>
      <c r="F690" s="19"/>
      <c r="G690" s="19"/>
    </row>
    <row r="691">
      <c r="B691" s="20"/>
      <c r="C691" s="20"/>
      <c r="D691" s="19"/>
      <c r="E691" s="19"/>
      <c r="F691" s="19"/>
      <c r="G691" s="19"/>
    </row>
    <row r="692">
      <c r="B692" s="20"/>
      <c r="C692" s="20"/>
      <c r="D692" s="19"/>
      <c r="E692" s="19"/>
      <c r="F692" s="19"/>
      <c r="G692" s="19"/>
    </row>
    <row r="693">
      <c r="B693" s="20"/>
      <c r="C693" s="20"/>
      <c r="D693" s="19"/>
      <c r="E693" s="19"/>
      <c r="F693" s="19"/>
      <c r="G693" s="19"/>
    </row>
    <row r="694">
      <c r="B694" s="20"/>
      <c r="C694" s="20"/>
      <c r="D694" s="19"/>
      <c r="E694" s="19"/>
      <c r="F694" s="19"/>
      <c r="G694" s="19"/>
    </row>
    <row r="695">
      <c r="B695" s="20"/>
      <c r="C695" s="20"/>
      <c r="D695" s="19"/>
      <c r="E695" s="19"/>
      <c r="F695" s="19"/>
      <c r="G695" s="19"/>
    </row>
    <row r="696">
      <c r="B696" s="20"/>
      <c r="C696" s="20"/>
      <c r="D696" s="19"/>
      <c r="E696" s="19"/>
      <c r="F696" s="19"/>
      <c r="G696" s="19"/>
    </row>
    <row r="697">
      <c r="B697" s="20"/>
      <c r="C697" s="20"/>
      <c r="D697" s="19"/>
      <c r="E697" s="19"/>
      <c r="F697" s="19"/>
      <c r="G697" s="19"/>
    </row>
    <row r="698">
      <c r="B698" s="20"/>
      <c r="C698" s="20"/>
      <c r="D698" s="19"/>
      <c r="E698" s="19"/>
      <c r="F698" s="19"/>
      <c r="G698" s="19"/>
    </row>
    <row r="699">
      <c r="B699" s="20"/>
      <c r="C699" s="20"/>
      <c r="D699" s="19"/>
      <c r="E699" s="19"/>
      <c r="F699" s="19"/>
      <c r="G699" s="19"/>
    </row>
    <row r="700">
      <c r="B700" s="20"/>
      <c r="C700" s="20"/>
      <c r="D700" s="19"/>
      <c r="E700" s="19"/>
      <c r="F700" s="19"/>
      <c r="G700" s="19"/>
    </row>
    <row r="701">
      <c r="B701" s="20"/>
      <c r="C701" s="20"/>
      <c r="D701" s="19"/>
      <c r="E701" s="19"/>
      <c r="F701" s="19"/>
      <c r="G701" s="19"/>
    </row>
    <row r="702">
      <c r="B702" s="20"/>
      <c r="C702" s="20"/>
      <c r="D702" s="19"/>
      <c r="E702" s="19"/>
      <c r="F702" s="19"/>
      <c r="G702" s="19"/>
    </row>
    <row r="703">
      <c r="B703" s="20"/>
      <c r="C703" s="20"/>
      <c r="D703" s="19"/>
      <c r="E703" s="19"/>
      <c r="F703" s="19"/>
      <c r="G703" s="19"/>
    </row>
    <row r="704">
      <c r="B704" s="20"/>
      <c r="C704" s="20"/>
      <c r="D704" s="19"/>
      <c r="E704" s="19"/>
      <c r="F704" s="19"/>
      <c r="G704" s="19"/>
    </row>
    <row r="705">
      <c r="B705" s="20"/>
      <c r="C705" s="20"/>
      <c r="D705" s="19"/>
      <c r="E705" s="19"/>
      <c r="F705" s="19"/>
      <c r="G705" s="19"/>
    </row>
    <row r="706">
      <c r="B706" s="20"/>
      <c r="C706" s="20"/>
      <c r="D706" s="19"/>
      <c r="E706" s="19"/>
      <c r="F706" s="19"/>
      <c r="G706" s="19"/>
    </row>
    <row r="707">
      <c r="B707" s="20"/>
      <c r="C707" s="20"/>
      <c r="D707" s="19"/>
      <c r="E707" s="19"/>
      <c r="F707" s="19"/>
      <c r="G707" s="19"/>
    </row>
    <row r="708">
      <c r="B708" s="20"/>
      <c r="C708" s="20"/>
      <c r="D708" s="19"/>
      <c r="E708" s="19"/>
      <c r="F708" s="19"/>
      <c r="G708" s="19"/>
    </row>
    <row r="709">
      <c r="B709" s="20"/>
      <c r="C709" s="20"/>
      <c r="D709" s="19"/>
      <c r="E709" s="19"/>
      <c r="F709" s="19"/>
      <c r="G709" s="19"/>
    </row>
    <row r="710">
      <c r="B710" s="20"/>
      <c r="C710" s="20"/>
      <c r="D710" s="19"/>
      <c r="E710" s="19"/>
      <c r="F710" s="19"/>
      <c r="G710" s="19"/>
    </row>
    <row r="711">
      <c r="B711" s="20"/>
      <c r="C711" s="20"/>
      <c r="D711" s="19"/>
      <c r="E711" s="19"/>
      <c r="F711" s="19"/>
      <c r="G711" s="19"/>
    </row>
    <row r="712">
      <c r="B712" s="20"/>
      <c r="C712" s="20"/>
      <c r="D712" s="19"/>
      <c r="E712" s="19"/>
      <c r="F712" s="19"/>
      <c r="G712" s="19"/>
    </row>
    <row r="713">
      <c r="B713" s="20"/>
      <c r="C713" s="20"/>
      <c r="D713" s="19"/>
      <c r="E713" s="19"/>
      <c r="F713" s="19"/>
      <c r="G713" s="19"/>
    </row>
    <row r="714">
      <c r="B714" s="20"/>
      <c r="C714" s="20"/>
      <c r="D714" s="19"/>
      <c r="E714" s="19"/>
      <c r="F714" s="19"/>
      <c r="G714" s="19"/>
    </row>
    <row r="715">
      <c r="B715" s="20"/>
      <c r="C715" s="20"/>
      <c r="D715" s="19"/>
      <c r="E715" s="19"/>
      <c r="F715" s="19"/>
      <c r="G715" s="19"/>
    </row>
    <row r="716">
      <c r="B716" s="20"/>
      <c r="C716" s="20"/>
      <c r="D716" s="19"/>
      <c r="E716" s="19"/>
      <c r="F716" s="19"/>
      <c r="G716" s="19"/>
    </row>
    <row r="717">
      <c r="B717" s="20"/>
      <c r="C717" s="20"/>
      <c r="D717" s="19"/>
      <c r="E717" s="19"/>
      <c r="F717" s="19"/>
      <c r="G717" s="19"/>
    </row>
    <row r="718">
      <c r="B718" s="20"/>
      <c r="C718" s="20"/>
      <c r="D718" s="19"/>
      <c r="E718" s="19"/>
      <c r="F718" s="19"/>
      <c r="G718" s="19"/>
    </row>
    <row r="719">
      <c r="B719" s="20"/>
      <c r="C719" s="20"/>
      <c r="D719" s="19"/>
      <c r="E719" s="19"/>
      <c r="F719" s="19"/>
      <c r="G719" s="19"/>
    </row>
    <row r="720">
      <c r="B720" s="20"/>
      <c r="C720" s="20"/>
      <c r="D720" s="19"/>
      <c r="E720" s="19"/>
      <c r="F720" s="19"/>
      <c r="G720" s="19"/>
    </row>
    <row r="721">
      <c r="B721" s="20"/>
      <c r="C721" s="20"/>
      <c r="D721" s="19"/>
      <c r="E721" s="19"/>
      <c r="F721" s="19"/>
      <c r="G721" s="19"/>
    </row>
    <row r="722">
      <c r="B722" s="20"/>
      <c r="C722" s="20"/>
      <c r="D722" s="19"/>
      <c r="E722" s="19"/>
      <c r="F722" s="19"/>
      <c r="G722" s="19"/>
    </row>
    <row r="723">
      <c r="B723" s="20"/>
      <c r="C723" s="20"/>
      <c r="D723" s="19"/>
      <c r="E723" s="19"/>
      <c r="F723" s="19"/>
      <c r="G723" s="19"/>
    </row>
    <row r="724">
      <c r="B724" s="20"/>
      <c r="C724" s="20"/>
      <c r="D724" s="19"/>
      <c r="E724" s="19"/>
      <c r="F724" s="19"/>
      <c r="G724" s="19"/>
    </row>
    <row r="725">
      <c r="B725" s="20"/>
      <c r="C725" s="20"/>
      <c r="D725" s="19"/>
      <c r="E725" s="19"/>
      <c r="F725" s="19"/>
      <c r="G725" s="19"/>
    </row>
    <row r="726">
      <c r="B726" s="20"/>
      <c r="C726" s="20"/>
      <c r="D726" s="19"/>
      <c r="E726" s="19"/>
      <c r="F726" s="19"/>
      <c r="G726" s="19"/>
    </row>
    <row r="727">
      <c r="B727" s="20"/>
      <c r="C727" s="20"/>
      <c r="D727" s="19"/>
      <c r="E727" s="19"/>
      <c r="F727" s="19"/>
      <c r="G727" s="19"/>
    </row>
    <row r="728">
      <c r="B728" s="20"/>
      <c r="C728" s="20"/>
      <c r="D728" s="19"/>
      <c r="E728" s="19"/>
      <c r="F728" s="19"/>
      <c r="G728" s="19"/>
    </row>
    <row r="729">
      <c r="B729" s="20"/>
      <c r="C729" s="20"/>
      <c r="D729" s="19"/>
      <c r="E729" s="19"/>
      <c r="F729" s="19"/>
      <c r="G729" s="19"/>
    </row>
    <row r="730">
      <c r="B730" s="20"/>
      <c r="C730" s="20"/>
      <c r="D730" s="19"/>
      <c r="E730" s="19"/>
      <c r="F730" s="19"/>
      <c r="G730" s="19"/>
    </row>
    <row r="731">
      <c r="B731" s="20"/>
      <c r="C731" s="20"/>
      <c r="D731" s="19"/>
      <c r="E731" s="19"/>
      <c r="F731" s="19"/>
      <c r="G731" s="19"/>
    </row>
    <row r="732">
      <c r="B732" s="20"/>
      <c r="C732" s="20"/>
      <c r="D732" s="19"/>
      <c r="E732" s="19"/>
      <c r="F732" s="19"/>
      <c r="G732" s="19"/>
    </row>
    <row r="733">
      <c r="B733" s="20"/>
      <c r="C733" s="20"/>
      <c r="D733" s="19"/>
      <c r="E733" s="19"/>
      <c r="F733" s="19"/>
      <c r="G733" s="19"/>
    </row>
    <row r="734">
      <c r="B734" s="20"/>
      <c r="C734" s="20"/>
      <c r="D734" s="19"/>
      <c r="E734" s="19"/>
      <c r="F734" s="19"/>
      <c r="G734" s="19"/>
    </row>
    <row r="735">
      <c r="B735" s="20"/>
      <c r="C735" s="20"/>
      <c r="D735" s="19"/>
      <c r="E735" s="19"/>
      <c r="F735" s="19"/>
      <c r="G735" s="19"/>
    </row>
    <row r="736">
      <c r="B736" s="20"/>
      <c r="C736" s="20"/>
      <c r="D736" s="19"/>
      <c r="E736" s="19"/>
      <c r="F736" s="19"/>
      <c r="G736" s="19"/>
    </row>
    <row r="737">
      <c r="B737" s="20"/>
      <c r="C737" s="20"/>
      <c r="D737" s="19"/>
      <c r="E737" s="19"/>
      <c r="F737" s="19"/>
      <c r="G737" s="19"/>
    </row>
    <row r="738">
      <c r="B738" s="20"/>
      <c r="C738" s="20"/>
      <c r="D738" s="19"/>
      <c r="E738" s="19"/>
      <c r="F738" s="19"/>
      <c r="G738" s="19"/>
    </row>
    <row r="739">
      <c r="B739" s="20"/>
      <c r="C739" s="20"/>
      <c r="D739" s="19"/>
      <c r="E739" s="19"/>
      <c r="F739" s="19"/>
      <c r="G739" s="19"/>
    </row>
    <row r="740">
      <c r="B740" s="20"/>
      <c r="C740" s="20"/>
      <c r="D740" s="19"/>
      <c r="E740" s="19"/>
      <c r="F740" s="19"/>
      <c r="G740" s="19"/>
    </row>
    <row r="741">
      <c r="B741" s="20"/>
      <c r="C741" s="20"/>
      <c r="D741" s="19"/>
      <c r="E741" s="19"/>
      <c r="F741" s="19"/>
      <c r="G741" s="19"/>
    </row>
    <row r="742">
      <c r="B742" s="20"/>
      <c r="C742" s="20"/>
      <c r="D742" s="19"/>
      <c r="E742" s="19"/>
      <c r="F742" s="19"/>
      <c r="G742" s="19"/>
    </row>
    <row r="743">
      <c r="B743" s="20"/>
      <c r="C743" s="20"/>
      <c r="D743" s="19"/>
      <c r="E743" s="19"/>
      <c r="F743" s="19"/>
      <c r="G743" s="19"/>
    </row>
    <row r="744">
      <c r="B744" s="20"/>
      <c r="C744" s="20"/>
      <c r="D744" s="19"/>
      <c r="E744" s="19"/>
      <c r="F744" s="19"/>
      <c r="G744" s="19"/>
    </row>
    <row r="745">
      <c r="B745" s="20"/>
      <c r="C745" s="20"/>
      <c r="D745" s="19"/>
      <c r="E745" s="19"/>
      <c r="F745" s="19"/>
      <c r="G745" s="19"/>
    </row>
    <row r="746">
      <c r="B746" s="20"/>
      <c r="C746" s="20"/>
      <c r="D746" s="19"/>
      <c r="E746" s="19"/>
      <c r="F746" s="19"/>
      <c r="G746" s="19"/>
    </row>
    <row r="747">
      <c r="B747" s="20"/>
      <c r="C747" s="20"/>
      <c r="D747" s="19"/>
      <c r="E747" s="19"/>
      <c r="F747" s="19"/>
      <c r="G747" s="19"/>
    </row>
    <row r="748">
      <c r="B748" s="20"/>
      <c r="C748" s="20"/>
      <c r="D748" s="19"/>
      <c r="E748" s="19"/>
      <c r="F748" s="19"/>
      <c r="G748" s="19"/>
    </row>
    <row r="749">
      <c r="B749" s="20"/>
      <c r="C749" s="20"/>
      <c r="D749" s="19"/>
      <c r="E749" s="19"/>
      <c r="F749" s="19"/>
      <c r="G749" s="19"/>
    </row>
    <row r="750">
      <c r="B750" s="20"/>
      <c r="C750" s="20"/>
      <c r="D750" s="19"/>
      <c r="E750" s="19"/>
      <c r="F750" s="19"/>
      <c r="G750" s="19"/>
    </row>
    <row r="751">
      <c r="B751" s="20"/>
      <c r="C751" s="20"/>
      <c r="D751" s="19"/>
      <c r="E751" s="19"/>
      <c r="F751" s="19"/>
      <c r="G751" s="19"/>
    </row>
    <row r="752">
      <c r="B752" s="20"/>
      <c r="C752" s="20"/>
      <c r="D752" s="19"/>
      <c r="E752" s="19"/>
      <c r="F752" s="19"/>
      <c r="G752" s="19"/>
    </row>
    <row r="753">
      <c r="B753" s="20"/>
      <c r="C753" s="20"/>
      <c r="D753" s="19"/>
      <c r="E753" s="19"/>
      <c r="F753" s="19"/>
      <c r="G753" s="19"/>
    </row>
    <row r="754">
      <c r="B754" s="20"/>
      <c r="C754" s="20"/>
      <c r="D754" s="19"/>
      <c r="E754" s="19"/>
      <c r="F754" s="19"/>
      <c r="G754" s="19"/>
    </row>
    <row r="755">
      <c r="B755" s="20"/>
      <c r="C755" s="20"/>
      <c r="D755" s="19"/>
      <c r="E755" s="19"/>
      <c r="F755" s="19"/>
      <c r="G755" s="19"/>
    </row>
    <row r="756">
      <c r="B756" s="20"/>
      <c r="C756" s="20"/>
      <c r="D756" s="19"/>
      <c r="E756" s="19"/>
      <c r="F756" s="19"/>
      <c r="G756" s="19"/>
    </row>
    <row r="757">
      <c r="B757" s="20"/>
      <c r="C757" s="20"/>
      <c r="D757" s="19"/>
      <c r="E757" s="19"/>
      <c r="F757" s="19"/>
      <c r="G757" s="19"/>
    </row>
    <row r="758">
      <c r="B758" s="20"/>
      <c r="C758" s="20"/>
      <c r="D758" s="19"/>
      <c r="E758" s="19"/>
      <c r="F758" s="19"/>
      <c r="G758" s="19"/>
    </row>
    <row r="759">
      <c r="B759" s="20"/>
      <c r="C759" s="20"/>
      <c r="D759" s="19"/>
      <c r="E759" s="19"/>
      <c r="F759" s="19"/>
      <c r="G759" s="19"/>
    </row>
    <row r="760">
      <c r="B760" s="20"/>
      <c r="C760" s="20"/>
      <c r="D760" s="19"/>
      <c r="E760" s="19"/>
      <c r="F760" s="19"/>
      <c r="G760" s="19"/>
    </row>
    <row r="761">
      <c r="B761" s="20"/>
      <c r="C761" s="20"/>
      <c r="D761" s="19"/>
      <c r="E761" s="19"/>
      <c r="F761" s="19"/>
      <c r="G761" s="19"/>
    </row>
    <row r="762">
      <c r="B762" s="20"/>
      <c r="C762" s="20"/>
      <c r="D762" s="19"/>
      <c r="E762" s="19"/>
      <c r="F762" s="19"/>
      <c r="G762" s="19"/>
    </row>
    <row r="763">
      <c r="B763" s="20"/>
      <c r="C763" s="20"/>
      <c r="D763" s="19"/>
      <c r="E763" s="19"/>
      <c r="F763" s="19"/>
      <c r="G763" s="19"/>
    </row>
    <row r="764">
      <c r="B764" s="20"/>
      <c r="C764" s="20"/>
      <c r="D764" s="19"/>
      <c r="E764" s="19"/>
      <c r="F764" s="19"/>
      <c r="G764" s="19"/>
    </row>
    <row r="765">
      <c r="B765" s="20"/>
      <c r="C765" s="20"/>
      <c r="D765" s="19"/>
      <c r="E765" s="19"/>
      <c r="F765" s="19"/>
      <c r="G765" s="19"/>
    </row>
    <row r="766">
      <c r="B766" s="20"/>
      <c r="C766" s="20"/>
      <c r="D766" s="19"/>
      <c r="E766" s="19"/>
      <c r="F766" s="19"/>
      <c r="G766" s="19"/>
    </row>
    <row r="767">
      <c r="B767" s="20"/>
      <c r="C767" s="20"/>
      <c r="D767" s="19"/>
      <c r="E767" s="19"/>
      <c r="F767" s="19"/>
      <c r="G767" s="19"/>
    </row>
    <row r="768">
      <c r="B768" s="20"/>
      <c r="C768" s="20"/>
      <c r="D768" s="19"/>
      <c r="E768" s="19"/>
      <c r="F768" s="19"/>
      <c r="G768" s="19"/>
    </row>
    <row r="769">
      <c r="B769" s="20"/>
      <c r="C769" s="20"/>
      <c r="D769" s="19"/>
      <c r="E769" s="19"/>
      <c r="F769" s="19"/>
      <c r="G769" s="19"/>
    </row>
    <row r="770">
      <c r="B770" s="20"/>
      <c r="C770" s="20"/>
      <c r="D770" s="19"/>
      <c r="E770" s="19"/>
      <c r="F770" s="19"/>
      <c r="G770" s="19"/>
    </row>
    <row r="771">
      <c r="B771" s="20"/>
      <c r="C771" s="20"/>
      <c r="D771" s="19"/>
      <c r="E771" s="19"/>
      <c r="F771" s="19"/>
      <c r="G771" s="19"/>
    </row>
    <row r="772">
      <c r="B772" s="20"/>
      <c r="C772" s="20"/>
      <c r="D772" s="19"/>
      <c r="E772" s="19"/>
      <c r="F772" s="19"/>
      <c r="G772" s="19"/>
    </row>
    <row r="773">
      <c r="B773" s="20"/>
      <c r="C773" s="20"/>
      <c r="D773" s="19"/>
      <c r="E773" s="19"/>
      <c r="F773" s="19"/>
      <c r="G773" s="19"/>
    </row>
    <row r="774">
      <c r="B774" s="20"/>
      <c r="C774" s="20"/>
      <c r="D774" s="19"/>
      <c r="E774" s="19"/>
      <c r="F774" s="19"/>
      <c r="G774" s="19"/>
    </row>
    <row r="775">
      <c r="B775" s="20"/>
      <c r="C775" s="20"/>
      <c r="D775" s="19"/>
      <c r="E775" s="19"/>
      <c r="F775" s="19"/>
      <c r="G775" s="19"/>
    </row>
    <row r="776">
      <c r="B776" s="20"/>
      <c r="C776" s="20"/>
      <c r="D776" s="19"/>
      <c r="E776" s="19"/>
      <c r="F776" s="19"/>
      <c r="G776" s="19"/>
    </row>
    <row r="777">
      <c r="B777" s="20"/>
      <c r="C777" s="20"/>
      <c r="D777" s="19"/>
      <c r="E777" s="19"/>
      <c r="F777" s="19"/>
      <c r="G777" s="19"/>
    </row>
    <row r="778">
      <c r="B778" s="20"/>
      <c r="C778" s="20"/>
      <c r="D778" s="19"/>
      <c r="E778" s="19"/>
      <c r="F778" s="19"/>
      <c r="G778" s="19"/>
    </row>
    <row r="779">
      <c r="B779" s="20"/>
      <c r="C779" s="20"/>
      <c r="D779" s="19"/>
      <c r="E779" s="19"/>
      <c r="F779" s="19"/>
      <c r="G779" s="19"/>
    </row>
    <row r="780">
      <c r="B780" s="20"/>
      <c r="C780" s="20"/>
      <c r="D780" s="19"/>
      <c r="E780" s="19"/>
      <c r="F780" s="19"/>
      <c r="G780" s="19"/>
    </row>
    <row r="781">
      <c r="B781" s="20"/>
      <c r="C781" s="20"/>
      <c r="D781" s="19"/>
      <c r="E781" s="19"/>
      <c r="F781" s="19"/>
      <c r="G781" s="19"/>
    </row>
    <row r="782">
      <c r="B782" s="20"/>
      <c r="C782" s="20"/>
      <c r="D782" s="19"/>
      <c r="E782" s="19"/>
      <c r="F782" s="19"/>
      <c r="G782" s="19"/>
    </row>
    <row r="783">
      <c r="B783" s="20"/>
      <c r="C783" s="20"/>
      <c r="D783" s="19"/>
      <c r="E783" s="19"/>
      <c r="F783" s="19"/>
      <c r="G783" s="19"/>
    </row>
    <row r="784">
      <c r="B784" s="20"/>
      <c r="C784" s="20"/>
      <c r="D784" s="19"/>
      <c r="E784" s="19"/>
      <c r="F784" s="19"/>
      <c r="G784" s="19"/>
    </row>
    <row r="785">
      <c r="B785" s="20"/>
      <c r="C785" s="20"/>
      <c r="D785" s="19"/>
      <c r="E785" s="19"/>
      <c r="F785" s="19"/>
      <c r="G785" s="19"/>
    </row>
    <row r="786">
      <c r="B786" s="20"/>
      <c r="C786" s="20"/>
      <c r="D786" s="19"/>
      <c r="E786" s="19"/>
      <c r="F786" s="19"/>
      <c r="G786" s="19"/>
    </row>
    <row r="787">
      <c r="B787" s="20"/>
      <c r="C787" s="20"/>
      <c r="D787" s="19"/>
      <c r="E787" s="19"/>
      <c r="F787" s="19"/>
      <c r="G787" s="19"/>
    </row>
    <row r="788">
      <c r="B788" s="20"/>
      <c r="C788" s="20"/>
      <c r="D788" s="19"/>
      <c r="E788" s="19"/>
      <c r="F788" s="19"/>
      <c r="G788" s="19"/>
    </row>
    <row r="789">
      <c r="B789" s="20"/>
      <c r="C789" s="20"/>
      <c r="D789" s="19"/>
      <c r="E789" s="19"/>
      <c r="F789" s="19"/>
      <c r="G789" s="19"/>
    </row>
    <row r="790">
      <c r="B790" s="20"/>
      <c r="C790" s="20"/>
      <c r="D790" s="19"/>
      <c r="E790" s="19"/>
      <c r="F790" s="19"/>
      <c r="G790" s="19"/>
    </row>
    <row r="791">
      <c r="B791" s="20"/>
      <c r="C791" s="20"/>
      <c r="D791" s="19"/>
      <c r="E791" s="19"/>
      <c r="F791" s="19"/>
      <c r="G791" s="19"/>
    </row>
    <row r="792">
      <c r="B792" s="20"/>
      <c r="C792" s="20"/>
      <c r="D792" s="19"/>
      <c r="E792" s="19"/>
      <c r="F792" s="19"/>
      <c r="G792" s="19"/>
    </row>
    <row r="793">
      <c r="B793" s="20"/>
      <c r="C793" s="20"/>
      <c r="D793" s="19"/>
      <c r="E793" s="19"/>
      <c r="F793" s="19"/>
      <c r="G793" s="19"/>
    </row>
    <row r="794">
      <c r="B794" s="20"/>
      <c r="C794" s="20"/>
      <c r="D794" s="19"/>
      <c r="E794" s="19"/>
      <c r="F794" s="19"/>
      <c r="G794" s="19"/>
    </row>
    <row r="795">
      <c r="B795" s="20"/>
      <c r="C795" s="20"/>
      <c r="D795" s="19"/>
      <c r="E795" s="19"/>
      <c r="F795" s="19"/>
      <c r="G795" s="19"/>
    </row>
    <row r="796">
      <c r="B796" s="20"/>
      <c r="C796" s="20"/>
      <c r="D796" s="19"/>
      <c r="E796" s="19"/>
      <c r="F796" s="19"/>
      <c r="G796" s="19"/>
    </row>
    <row r="797">
      <c r="B797" s="20"/>
      <c r="C797" s="20"/>
      <c r="D797" s="19"/>
      <c r="E797" s="19"/>
      <c r="F797" s="19"/>
      <c r="G797" s="19"/>
    </row>
    <row r="798">
      <c r="B798" s="20"/>
      <c r="C798" s="20"/>
      <c r="D798" s="19"/>
      <c r="E798" s="19"/>
      <c r="F798" s="19"/>
      <c r="G798" s="19"/>
    </row>
    <row r="799">
      <c r="B799" s="20"/>
      <c r="C799" s="20"/>
      <c r="D799" s="19"/>
      <c r="E799" s="19"/>
      <c r="F799" s="19"/>
      <c r="G799" s="19"/>
    </row>
    <row r="800">
      <c r="B800" s="20"/>
      <c r="C800" s="20"/>
      <c r="D800" s="19"/>
      <c r="E800" s="19"/>
      <c r="F800" s="19"/>
      <c r="G800" s="19"/>
    </row>
    <row r="801">
      <c r="B801" s="20"/>
      <c r="C801" s="20"/>
      <c r="D801" s="19"/>
      <c r="E801" s="19"/>
      <c r="F801" s="19"/>
      <c r="G801" s="19"/>
    </row>
    <row r="802">
      <c r="B802" s="20"/>
      <c r="C802" s="20"/>
      <c r="D802" s="19"/>
      <c r="E802" s="19"/>
      <c r="F802" s="19"/>
      <c r="G802" s="19"/>
    </row>
    <row r="803">
      <c r="B803" s="20"/>
      <c r="C803" s="20"/>
      <c r="D803" s="19"/>
      <c r="E803" s="19"/>
      <c r="F803" s="19"/>
      <c r="G803" s="19"/>
    </row>
    <row r="804">
      <c r="B804" s="20"/>
      <c r="C804" s="20"/>
      <c r="D804" s="19"/>
      <c r="E804" s="19"/>
      <c r="F804" s="19"/>
      <c r="G804" s="19"/>
    </row>
    <row r="805">
      <c r="B805" s="20"/>
      <c r="C805" s="20"/>
      <c r="D805" s="19"/>
      <c r="E805" s="19"/>
      <c r="F805" s="19"/>
      <c r="G805" s="19"/>
    </row>
    <row r="806">
      <c r="B806" s="20"/>
      <c r="C806" s="20"/>
      <c r="D806" s="19"/>
      <c r="E806" s="19"/>
      <c r="F806" s="19"/>
      <c r="G806" s="19"/>
    </row>
    <row r="807">
      <c r="B807" s="20"/>
      <c r="C807" s="20"/>
      <c r="D807" s="19"/>
      <c r="E807" s="19"/>
      <c r="F807" s="19"/>
      <c r="G807" s="19"/>
    </row>
    <row r="808">
      <c r="B808" s="20"/>
      <c r="C808" s="20"/>
      <c r="D808" s="19"/>
      <c r="E808" s="19"/>
      <c r="F808" s="19"/>
      <c r="G808" s="19"/>
    </row>
    <row r="809">
      <c r="B809" s="20"/>
      <c r="C809" s="20"/>
      <c r="D809" s="19"/>
      <c r="E809" s="19"/>
      <c r="F809" s="19"/>
      <c r="G809" s="19"/>
    </row>
    <row r="810">
      <c r="B810" s="20"/>
      <c r="C810" s="20"/>
      <c r="D810" s="19"/>
      <c r="E810" s="19"/>
      <c r="F810" s="19"/>
      <c r="G810" s="19"/>
    </row>
    <row r="811">
      <c r="B811" s="20"/>
      <c r="C811" s="20"/>
      <c r="D811" s="19"/>
      <c r="E811" s="19"/>
      <c r="F811" s="19"/>
      <c r="G811" s="19"/>
    </row>
    <row r="812">
      <c r="B812" s="20"/>
      <c r="C812" s="20"/>
      <c r="D812" s="19"/>
      <c r="E812" s="19"/>
      <c r="F812" s="19"/>
      <c r="G812" s="19"/>
    </row>
    <row r="813">
      <c r="B813" s="20"/>
      <c r="C813" s="20"/>
      <c r="D813" s="19"/>
      <c r="E813" s="19"/>
      <c r="F813" s="19"/>
      <c r="G813" s="19"/>
    </row>
    <row r="814">
      <c r="B814" s="20"/>
      <c r="C814" s="20"/>
      <c r="D814" s="19"/>
      <c r="E814" s="19"/>
      <c r="F814" s="19"/>
      <c r="G814" s="19"/>
    </row>
    <row r="815">
      <c r="B815" s="20"/>
      <c r="C815" s="20"/>
      <c r="D815" s="19"/>
      <c r="E815" s="19"/>
      <c r="F815" s="19"/>
      <c r="G815" s="19"/>
    </row>
    <row r="816">
      <c r="B816" s="20"/>
      <c r="C816" s="20"/>
      <c r="D816" s="19"/>
      <c r="E816" s="19"/>
      <c r="F816" s="19"/>
      <c r="G816" s="19"/>
    </row>
    <row r="817">
      <c r="B817" s="20"/>
      <c r="C817" s="20"/>
      <c r="D817" s="19"/>
      <c r="E817" s="19"/>
      <c r="F817" s="19"/>
      <c r="G817" s="19"/>
    </row>
    <row r="818">
      <c r="B818" s="20"/>
      <c r="C818" s="20"/>
      <c r="D818" s="19"/>
      <c r="E818" s="19"/>
      <c r="F818" s="19"/>
      <c r="G818" s="19"/>
    </row>
    <row r="819">
      <c r="B819" s="20"/>
      <c r="C819" s="20"/>
      <c r="D819" s="19"/>
      <c r="E819" s="19"/>
      <c r="F819" s="19"/>
      <c r="G819" s="19"/>
    </row>
    <row r="820">
      <c r="B820" s="20"/>
      <c r="C820" s="20"/>
      <c r="D820" s="19"/>
      <c r="E820" s="19"/>
      <c r="F820" s="19"/>
      <c r="G820" s="19"/>
    </row>
    <row r="821">
      <c r="B821" s="20"/>
      <c r="C821" s="20"/>
      <c r="D821" s="19"/>
      <c r="E821" s="19"/>
      <c r="F821" s="19"/>
      <c r="G821" s="19"/>
    </row>
    <row r="822">
      <c r="B822" s="20"/>
      <c r="C822" s="20"/>
      <c r="D822" s="19"/>
      <c r="E822" s="19"/>
      <c r="F822" s="19"/>
      <c r="G822" s="19"/>
    </row>
    <row r="823">
      <c r="B823" s="20"/>
      <c r="C823" s="20"/>
      <c r="D823" s="19"/>
      <c r="E823" s="19"/>
      <c r="F823" s="19"/>
      <c r="G823" s="19"/>
    </row>
    <row r="824">
      <c r="B824" s="20"/>
      <c r="C824" s="20"/>
      <c r="D824" s="19"/>
      <c r="E824" s="19"/>
      <c r="F824" s="19"/>
      <c r="G824" s="19"/>
    </row>
    <row r="825">
      <c r="B825" s="20"/>
      <c r="C825" s="20"/>
      <c r="D825" s="19"/>
      <c r="E825" s="19"/>
      <c r="F825" s="19"/>
      <c r="G825" s="19"/>
    </row>
    <row r="826">
      <c r="B826" s="20"/>
      <c r="C826" s="20"/>
      <c r="D826" s="19"/>
      <c r="E826" s="19"/>
      <c r="F826" s="19"/>
      <c r="G826" s="19"/>
    </row>
    <row r="827">
      <c r="B827" s="20"/>
      <c r="C827" s="20"/>
      <c r="D827" s="19"/>
      <c r="E827" s="19"/>
      <c r="F827" s="19"/>
      <c r="G827" s="19"/>
    </row>
    <row r="828">
      <c r="B828" s="20"/>
      <c r="C828" s="20"/>
      <c r="D828" s="19"/>
      <c r="E828" s="19"/>
      <c r="F828" s="19"/>
      <c r="G828" s="19"/>
    </row>
    <row r="829">
      <c r="B829" s="20"/>
      <c r="C829" s="20"/>
      <c r="D829" s="19"/>
      <c r="E829" s="19"/>
      <c r="F829" s="19"/>
      <c r="G829" s="19"/>
    </row>
    <row r="830">
      <c r="B830" s="20"/>
      <c r="C830" s="20"/>
      <c r="D830" s="19"/>
      <c r="E830" s="19"/>
      <c r="F830" s="19"/>
      <c r="G830" s="19"/>
    </row>
    <row r="831">
      <c r="B831" s="20"/>
      <c r="C831" s="20"/>
      <c r="D831" s="19"/>
      <c r="E831" s="19"/>
      <c r="F831" s="19"/>
      <c r="G831" s="19"/>
    </row>
    <row r="832">
      <c r="B832" s="20"/>
      <c r="C832" s="20"/>
      <c r="D832" s="19"/>
      <c r="E832" s="19"/>
      <c r="F832" s="19"/>
      <c r="G832" s="19"/>
    </row>
    <row r="833">
      <c r="B833" s="20"/>
      <c r="C833" s="20"/>
      <c r="D833" s="19"/>
      <c r="E833" s="19"/>
      <c r="F833" s="19"/>
      <c r="G833" s="19"/>
    </row>
    <row r="834">
      <c r="B834" s="20"/>
      <c r="C834" s="20"/>
      <c r="D834" s="19"/>
      <c r="E834" s="19"/>
      <c r="F834" s="19"/>
      <c r="G834" s="19"/>
    </row>
    <row r="835">
      <c r="B835" s="20"/>
      <c r="C835" s="20"/>
      <c r="D835" s="19"/>
      <c r="E835" s="19"/>
      <c r="F835" s="19"/>
      <c r="G835" s="19"/>
    </row>
    <row r="836">
      <c r="B836" s="20"/>
      <c r="C836" s="20"/>
      <c r="D836" s="19"/>
      <c r="E836" s="19"/>
      <c r="F836" s="19"/>
      <c r="G836" s="19"/>
    </row>
    <row r="837">
      <c r="B837" s="20"/>
      <c r="C837" s="20"/>
      <c r="D837" s="19"/>
      <c r="E837" s="19"/>
      <c r="F837" s="19"/>
      <c r="G837" s="19"/>
    </row>
    <row r="838">
      <c r="B838" s="20"/>
      <c r="C838" s="20"/>
      <c r="D838" s="19"/>
      <c r="E838" s="19"/>
      <c r="F838" s="19"/>
      <c r="G838" s="19"/>
    </row>
    <row r="839">
      <c r="B839" s="20"/>
      <c r="C839" s="20"/>
      <c r="D839" s="19"/>
      <c r="E839" s="19"/>
      <c r="F839" s="19"/>
      <c r="G839" s="19"/>
    </row>
    <row r="840">
      <c r="B840" s="20"/>
      <c r="C840" s="20"/>
      <c r="D840" s="19"/>
      <c r="E840" s="19"/>
      <c r="F840" s="19"/>
      <c r="G840" s="19"/>
    </row>
    <row r="841">
      <c r="B841" s="20"/>
      <c r="C841" s="20"/>
      <c r="D841" s="19"/>
      <c r="E841" s="19"/>
      <c r="F841" s="19"/>
      <c r="G841" s="19"/>
    </row>
    <row r="842">
      <c r="B842" s="20"/>
      <c r="C842" s="20"/>
      <c r="D842" s="19"/>
      <c r="E842" s="19"/>
      <c r="F842" s="19"/>
      <c r="G842" s="19"/>
    </row>
    <row r="843">
      <c r="B843" s="20"/>
      <c r="C843" s="20"/>
      <c r="D843" s="19"/>
      <c r="E843" s="19"/>
      <c r="F843" s="19"/>
      <c r="G843" s="19"/>
    </row>
    <row r="844">
      <c r="B844" s="20"/>
      <c r="C844" s="20"/>
      <c r="D844" s="19"/>
      <c r="E844" s="19"/>
      <c r="F844" s="19"/>
      <c r="G844" s="19"/>
    </row>
    <row r="845">
      <c r="B845" s="20"/>
      <c r="C845" s="20"/>
      <c r="D845" s="19"/>
      <c r="E845" s="19"/>
      <c r="F845" s="19"/>
      <c r="G845" s="19"/>
    </row>
    <row r="846">
      <c r="B846" s="20"/>
      <c r="C846" s="20"/>
      <c r="D846" s="19"/>
      <c r="E846" s="19"/>
      <c r="F846" s="19"/>
      <c r="G846" s="19"/>
    </row>
    <row r="847">
      <c r="B847" s="20"/>
      <c r="C847" s="20"/>
      <c r="D847" s="19"/>
      <c r="E847" s="19"/>
      <c r="F847" s="19"/>
      <c r="G847" s="19"/>
    </row>
    <row r="848">
      <c r="B848" s="20"/>
      <c r="C848" s="20"/>
      <c r="D848" s="19"/>
      <c r="E848" s="19"/>
      <c r="F848" s="19"/>
      <c r="G848" s="19"/>
    </row>
    <row r="849">
      <c r="B849" s="20"/>
      <c r="C849" s="20"/>
      <c r="D849" s="19"/>
      <c r="E849" s="19"/>
      <c r="F849" s="19"/>
      <c r="G849" s="19"/>
    </row>
    <row r="850">
      <c r="B850" s="20"/>
      <c r="C850" s="20"/>
      <c r="D850" s="19"/>
      <c r="E850" s="19"/>
      <c r="F850" s="19"/>
      <c r="G850" s="19"/>
    </row>
    <row r="851">
      <c r="B851" s="20"/>
      <c r="C851" s="20"/>
      <c r="D851" s="19"/>
      <c r="E851" s="19"/>
      <c r="F851" s="19"/>
      <c r="G851" s="19"/>
    </row>
    <row r="852">
      <c r="B852" s="20"/>
      <c r="C852" s="20"/>
      <c r="D852" s="19"/>
      <c r="E852" s="19"/>
      <c r="F852" s="19"/>
      <c r="G852" s="19"/>
    </row>
    <row r="853">
      <c r="B853" s="20"/>
      <c r="C853" s="20"/>
      <c r="D853" s="19"/>
      <c r="E853" s="19"/>
      <c r="F853" s="19"/>
      <c r="G853" s="19"/>
    </row>
    <row r="854">
      <c r="B854" s="20"/>
      <c r="C854" s="20"/>
      <c r="D854" s="19"/>
      <c r="E854" s="19"/>
      <c r="F854" s="19"/>
      <c r="G854" s="19"/>
    </row>
    <row r="855">
      <c r="B855" s="20"/>
      <c r="C855" s="20"/>
      <c r="D855" s="19"/>
      <c r="E855" s="19"/>
      <c r="F855" s="19"/>
      <c r="G855" s="19"/>
    </row>
    <row r="856">
      <c r="B856" s="20"/>
      <c r="C856" s="20"/>
      <c r="D856" s="19"/>
      <c r="E856" s="19"/>
      <c r="F856" s="19"/>
      <c r="G856" s="19"/>
    </row>
    <row r="857">
      <c r="B857" s="20"/>
      <c r="C857" s="20"/>
      <c r="D857" s="19"/>
      <c r="E857" s="19"/>
      <c r="F857" s="19"/>
      <c r="G857" s="19"/>
    </row>
    <row r="858">
      <c r="B858" s="20"/>
      <c r="C858" s="20"/>
      <c r="D858" s="19"/>
      <c r="E858" s="19"/>
      <c r="F858" s="19"/>
      <c r="G858" s="19"/>
    </row>
    <row r="859">
      <c r="B859" s="20"/>
      <c r="C859" s="20"/>
      <c r="D859" s="19"/>
      <c r="E859" s="19"/>
      <c r="F859" s="19"/>
      <c r="G859" s="19"/>
    </row>
    <row r="860">
      <c r="B860" s="20"/>
      <c r="C860" s="20"/>
      <c r="D860" s="19"/>
      <c r="E860" s="19"/>
      <c r="F860" s="19"/>
      <c r="G860" s="19"/>
    </row>
    <row r="861">
      <c r="B861" s="20"/>
      <c r="C861" s="20"/>
      <c r="D861" s="19"/>
      <c r="E861" s="19"/>
      <c r="F861" s="19"/>
      <c r="G861" s="19"/>
    </row>
    <row r="862">
      <c r="B862" s="20"/>
      <c r="C862" s="20"/>
      <c r="D862" s="19"/>
      <c r="E862" s="19"/>
      <c r="F862" s="19"/>
      <c r="G862" s="19"/>
    </row>
    <row r="863">
      <c r="B863" s="20"/>
      <c r="C863" s="20"/>
      <c r="D863" s="19"/>
      <c r="E863" s="19"/>
      <c r="F863" s="19"/>
      <c r="G863" s="19"/>
    </row>
    <row r="864">
      <c r="B864" s="20"/>
      <c r="C864" s="20"/>
      <c r="D864" s="19"/>
      <c r="E864" s="19"/>
      <c r="F864" s="19"/>
      <c r="G864" s="19"/>
    </row>
    <row r="865">
      <c r="B865" s="20"/>
      <c r="C865" s="20"/>
      <c r="D865" s="19"/>
      <c r="E865" s="19"/>
      <c r="F865" s="19"/>
      <c r="G865" s="19"/>
    </row>
    <row r="866">
      <c r="B866" s="20"/>
      <c r="C866" s="20"/>
      <c r="D866" s="19"/>
      <c r="E866" s="19"/>
      <c r="F866" s="19"/>
      <c r="G866" s="19"/>
    </row>
    <row r="867">
      <c r="B867" s="20"/>
      <c r="C867" s="20"/>
      <c r="D867" s="19"/>
      <c r="E867" s="19"/>
      <c r="F867" s="19"/>
      <c r="G867" s="19"/>
    </row>
    <row r="868">
      <c r="B868" s="20"/>
      <c r="C868" s="20"/>
      <c r="D868" s="19"/>
      <c r="E868" s="19"/>
      <c r="F868" s="19"/>
      <c r="G868" s="19"/>
    </row>
    <row r="869">
      <c r="B869" s="20"/>
      <c r="C869" s="20"/>
      <c r="D869" s="19"/>
      <c r="E869" s="19"/>
      <c r="F869" s="19"/>
      <c r="G869" s="19"/>
    </row>
    <row r="870">
      <c r="B870" s="20"/>
      <c r="C870" s="20"/>
      <c r="D870" s="19"/>
      <c r="E870" s="19"/>
      <c r="F870" s="19"/>
      <c r="G870" s="19"/>
    </row>
    <row r="871">
      <c r="B871" s="20"/>
      <c r="C871" s="20"/>
      <c r="D871" s="19"/>
      <c r="E871" s="19"/>
      <c r="F871" s="19"/>
      <c r="G871" s="19"/>
    </row>
    <row r="872">
      <c r="B872" s="20"/>
      <c r="C872" s="20"/>
      <c r="D872" s="19"/>
      <c r="E872" s="19"/>
      <c r="F872" s="19"/>
      <c r="G872" s="19"/>
    </row>
    <row r="873">
      <c r="B873" s="20"/>
      <c r="C873" s="20"/>
      <c r="D873" s="19"/>
      <c r="E873" s="19"/>
      <c r="F873" s="19"/>
      <c r="G873" s="19"/>
    </row>
    <row r="874">
      <c r="B874" s="20"/>
      <c r="C874" s="20"/>
      <c r="D874" s="19"/>
      <c r="E874" s="19"/>
      <c r="F874" s="19"/>
      <c r="G874" s="19"/>
    </row>
    <row r="875">
      <c r="B875" s="20"/>
      <c r="C875" s="20"/>
      <c r="D875" s="19"/>
      <c r="E875" s="19"/>
      <c r="F875" s="19"/>
      <c r="G875" s="19"/>
    </row>
    <row r="876">
      <c r="B876" s="20"/>
      <c r="C876" s="20"/>
      <c r="D876" s="19"/>
      <c r="E876" s="19"/>
      <c r="F876" s="19"/>
      <c r="G876" s="19"/>
    </row>
    <row r="877">
      <c r="B877" s="20"/>
      <c r="C877" s="20"/>
      <c r="D877" s="19"/>
      <c r="E877" s="19"/>
      <c r="F877" s="19"/>
      <c r="G877" s="19"/>
    </row>
    <row r="878">
      <c r="B878" s="20"/>
      <c r="C878" s="20"/>
      <c r="D878" s="19"/>
      <c r="E878" s="19"/>
      <c r="F878" s="19"/>
      <c r="G878" s="19"/>
    </row>
    <row r="879">
      <c r="B879" s="20"/>
      <c r="C879" s="20"/>
      <c r="D879" s="19"/>
      <c r="E879" s="19"/>
      <c r="F879" s="19"/>
      <c r="G879" s="19"/>
    </row>
    <row r="880">
      <c r="B880" s="20"/>
      <c r="C880" s="20"/>
      <c r="D880" s="19"/>
      <c r="E880" s="19"/>
      <c r="F880" s="19"/>
      <c r="G880" s="19"/>
    </row>
    <row r="881">
      <c r="B881" s="20"/>
      <c r="C881" s="20"/>
      <c r="D881" s="19"/>
      <c r="E881" s="19"/>
      <c r="F881" s="19"/>
      <c r="G881" s="19"/>
    </row>
    <row r="882">
      <c r="B882" s="20"/>
      <c r="C882" s="20"/>
      <c r="D882" s="19"/>
      <c r="E882" s="19"/>
      <c r="F882" s="19"/>
      <c r="G882" s="19"/>
    </row>
    <row r="883">
      <c r="B883" s="20"/>
      <c r="C883" s="20"/>
      <c r="D883" s="19"/>
      <c r="E883" s="19"/>
      <c r="F883" s="19"/>
      <c r="G883" s="19"/>
    </row>
    <row r="884">
      <c r="B884" s="20"/>
      <c r="C884" s="20"/>
      <c r="D884" s="19"/>
      <c r="E884" s="19"/>
      <c r="F884" s="19"/>
      <c r="G884" s="19"/>
    </row>
    <row r="885">
      <c r="B885" s="20"/>
      <c r="C885" s="20"/>
      <c r="D885" s="19"/>
      <c r="E885" s="19"/>
      <c r="F885" s="19"/>
      <c r="G885" s="19"/>
    </row>
    <row r="886">
      <c r="B886" s="20"/>
      <c r="C886" s="20"/>
      <c r="D886" s="19"/>
      <c r="E886" s="19"/>
      <c r="F886" s="19"/>
      <c r="G886" s="19"/>
    </row>
    <row r="887">
      <c r="B887" s="20"/>
      <c r="C887" s="20"/>
      <c r="D887" s="19"/>
      <c r="E887" s="19"/>
      <c r="F887" s="19"/>
      <c r="G887" s="19"/>
    </row>
    <row r="888">
      <c r="B888" s="20"/>
      <c r="C888" s="20"/>
      <c r="D888" s="19"/>
      <c r="E888" s="19"/>
      <c r="F888" s="19"/>
      <c r="G888" s="19"/>
    </row>
    <row r="889">
      <c r="B889" s="20"/>
      <c r="C889" s="20"/>
      <c r="D889" s="19"/>
      <c r="E889" s="19"/>
      <c r="F889" s="19"/>
      <c r="G889" s="19"/>
    </row>
    <row r="890">
      <c r="B890" s="20"/>
      <c r="C890" s="20"/>
      <c r="D890" s="19"/>
      <c r="E890" s="19"/>
      <c r="F890" s="19"/>
      <c r="G890" s="19"/>
    </row>
    <row r="891">
      <c r="B891" s="20"/>
      <c r="C891" s="20"/>
      <c r="D891" s="19"/>
      <c r="E891" s="19"/>
      <c r="F891" s="19"/>
      <c r="G891" s="19"/>
    </row>
    <row r="892">
      <c r="B892" s="20"/>
      <c r="C892" s="20"/>
      <c r="D892" s="19"/>
      <c r="E892" s="19"/>
      <c r="F892" s="19"/>
      <c r="G892" s="19"/>
    </row>
    <row r="893">
      <c r="B893" s="20"/>
      <c r="C893" s="20"/>
      <c r="D893" s="19"/>
      <c r="E893" s="19"/>
      <c r="F893" s="19"/>
      <c r="G893" s="19"/>
    </row>
    <row r="894">
      <c r="B894" s="20"/>
      <c r="C894" s="20"/>
      <c r="D894" s="19"/>
      <c r="E894" s="19"/>
      <c r="F894" s="19"/>
      <c r="G894" s="19"/>
    </row>
    <row r="895">
      <c r="B895" s="20"/>
      <c r="C895" s="20"/>
      <c r="D895" s="19"/>
      <c r="E895" s="19"/>
      <c r="F895" s="19"/>
      <c r="G895" s="19"/>
    </row>
    <row r="896">
      <c r="B896" s="20"/>
      <c r="C896" s="20"/>
      <c r="D896" s="19"/>
      <c r="E896" s="19"/>
      <c r="F896" s="19"/>
      <c r="G896" s="19"/>
    </row>
    <row r="897">
      <c r="B897" s="20"/>
      <c r="C897" s="20"/>
      <c r="D897" s="19"/>
      <c r="E897" s="19"/>
      <c r="F897" s="19"/>
      <c r="G897" s="19"/>
    </row>
    <row r="898">
      <c r="B898" s="20"/>
      <c r="C898" s="20"/>
      <c r="D898" s="19"/>
      <c r="E898" s="19"/>
      <c r="F898" s="19"/>
      <c r="G898" s="19"/>
    </row>
    <row r="899">
      <c r="B899" s="20"/>
      <c r="C899" s="20"/>
      <c r="D899" s="19"/>
      <c r="E899" s="19"/>
      <c r="F899" s="19"/>
      <c r="G899" s="19"/>
    </row>
    <row r="900">
      <c r="B900" s="20"/>
      <c r="C900" s="20"/>
      <c r="D900" s="19"/>
      <c r="E900" s="19"/>
      <c r="F900" s="19"/>
      <c r="G900" s="19"/>
    </row>
    <row r="901">
      <c r="B901" s="20"/>
      <c r="C901" s="20"/>
      <c r="D901" s="19"/>
      <c r="E901" s="19"/>
      <c r="F901" s="19"/>
      <c r="G901" s="19"/>
    </row>
    <row r="902">
      <c r="B902" s="20"/>
      <c r="C902" s="20"/>
      <c r="D902" s="19"/>
      <c r="E902" s="19"/>
      <c r="F902" s="19"/>
      <c r="G902" s="19"/>
    </row>
    <row r="903">
      <c r="B903" s="20"/>
      <c r="C903" s="20"/>
      <c r="D903" s="19"/>
      <c r="E903" s="19"/>
      <c r="F903" s="19"/>
      <c r="G903" s="19"/>
    </row>
    <row r="904">
      <c r="B904" s="20"/>
      <c r="C904" s="20"/>
      <c r="D904" s="19"/>
      <c r="E904" s="19"/>
      <c r="F904" s="19"/>
      <c r="G904" s="19"/>
    </row>
    <row r="905">
      <c r="B905" s="20"/>
      <c r="C905" s="20"/>
      <c r="D905" s="19"/>
      <c r="E905" s="19"/>
      <c r="F905" s="19"/>
      <c r="G905" s="19"/>
    </row>
    <row r="906">
      <c r="B906" s="20"/>
      <c r="C906" s="20"/>
      <c r="D906" s="19"/>
      <c r="E906" s="19"/>
      <c r="F906" s="19"/>
      <c r="G906" s="19"/>
    </row>
    <row r="907">
      <c r="B907" s="20"/>
      <c r="C907" s="20"/>
      <c r="D907" s="19"/>
      <c r="E907" s="19"/>
      <c r="F907" s="19"/>
      <c r="G907" s="19"/>
    </row>
    <row r="908">
      <c r="B908" s="20"/>
      <c r="C908" s="20"/>
      <c r="D908" s="19"/>
      <c r="E908" s="19"/>
      <c r="F908" s="19"/>
      <c r="G908" s="19"/>
    </row>
    <row r="909">
      <c r="B909" s="20"/>
      <c r="C909" s="20"/>
      <c r="D909" s="19"/>
      <c r="E909" s="19"/>
      <c r="F909" s="19"/>
      <c r="G909" s="19"/>
    </row>
    <row r="910">
      <c r="B910" s="20"/>
      <c r="C910" s="20"/>
      <c r="D910" s="19"/>
      <c r="E910" s="19"/>
      <c r="F910" s="19"/>
      <c r="G910" s="19"/>
    </row>
    <row r="911">
      <c r="B911" s="20"/>
      <c r="C911" s="20"/>
      <c r="D911" s="19"/>
      <c r="E911" s="19"/>
      <c r="F911" s="19"/>
      <c r="G911" s="19"/>
    </row>
    <row r="912">
      <c r="B912" s="20"/>
      <c r="C912" s="20"/>
      <c r="D912" s="19"/>
      <c r="E912" s="19"/>
      <c r="F912" s="19"/>
      <c r="G912" s="19"/>
    </row>
    <row r="913">
      <c r="B913" s="20"/>
      <c r="C913" s="20"/>
      <c r="D913" s="19"/>
      <c r="E913" s="19"/>
      <c r="F913" s="19"/>
      <c r="G913" s="19"/>
    </row>
    <row r="914">
      <c r="B914" s="20"/>
      <c r="C914" s="20"/>
      <c r="D914" s="19"/>
      <c r="E914" s="19"/>
      <c r="F914" s="19"/>
      <c r="G914" s="19"/>
    </row>
    <row r="915">
      <c r="B915" s="20"/>
      <c r="C915" s="20"/>
      <c r="D915" s="19"/>
      <c r="E915" s="19"/>
      <c r="F915" s="19"/>
      <c r="G915" s="19"/>
    </row>
    <row r="916">
      <c r="B916" s="20"/>
      <c r="C916" s="20"/>
      <c r="D916" s="19"/>
      <c r="E916" s="19"/>
      <c r="F916" s="19"/>
      <c r="G916" s="19"/>
    </row>
    <row r="917">
      <c r="B917" s="20"/>
      <c r="C917" s="20"/>
      <c r="D917" s="19"/>
      <c r="E917" s="19"/>
      <c r="F917" s="19"/>
      <c r="G917" s="19"/>
    </row>
    <row r="918">
      <c r="B918" s="20"/>
      <c r="C918" s="20"/>
      <c r="D918" s="19"/>
      <c r="E918" s="19"/>
      <c r="F918" s="19"/>
      <c r="G918" s="19"/>
    </row>
    <row r="919">
      <c r="B919" s="20"/>
      <c r="C919" s="20"/>
      <c r="D919" s="19"/>
      <c r="E919" s="19"/>
      <c r="F919" s="19"/>
      <c r="G919" s="19"/>
    </row>
    <row r="920">
      <c r="B920" s="20"/>
      <c r="C920" s="20"/>
      <c r="D920" s="19"/>
      <c r="E920" s="19"/>
      <c r="F920" s="19"/>
      <c r="G920" s="19"/>
    </row>
    <row r="921">
      <c r="B921" s="20"/>
      <c r="C921" s="20"/>
      <c r="D921" s="19"/>
      <c r="E921" s="19"/>
      <c r="F921" s="19"/>
      <c r="G921" s="19"/>
    </row>
    <row r="922">
      <c r="B922" s="20"/>
      <c r="C922" s="20"/>
      <c r="D922" s="19"/>
      <c r="E922" s="19"/>
      <c r="F922" s="19"/>
      <c r="G922" s="19"/>
    </row>
    <row r="923">
      <c r="B923" s="20"/>
      <c r="C923" s="20"/>
      <c r="D923" s="19"/>
      <c r="E923" s="19"/>
      <c r="F923" s="19"/>
      <c r="G923" s="19"/>
    </row>
    <row r="924">
      <c r="B924" s="20"/>
      <c r="C924" s="20"/>
      <c r="D924" s="19"/>
      <c r="E924" s="19"/>
      <c r="F924" s="19"/>
      <c r="G924" s="19"/>
    </row>
    <row r="925">
      <c r="B925" s="20"/>
      <c r="C925" s="20"/>
      <c r="D925" s="19"/>
      <c r="E925" s="19"/>
      <c r="F925" s="19"/>
      <c r="G925" s="19"/>
    </row>
    <row r="926">
      <c r="B926" s="20"/>
      <c r="C926" s="20"/>
      <c r="D926" s="19"/>
      <c r="E926" s="19"/>
      <c r="F926" s="19"/>
      <c r="G926" s="19"/>
    </row>
    <row r="927">
      <c r="B927" s="20"/>
      <c r="C927" s="20"/>
      <c r="D927" s="19"/>
      <c r="E927" s="19"/>
      <c r="F927" s="19"/>
      <c r="G927" s="19"/>
    </row>
    <row r="928">
      <c r="B928" s="20"/>
      <c r="C928" s="20"/>
      <c r="D928" s="19"/>
      <c r="E928" s="19"/>
      <c r="F928" s="19"/>
      <c r="G928" s="19"/>
    </row>
    <row r="929">
      <c r="B929" s="20"/>
      <c r="C929" s="20"/>
      <c r="D929" s="19"/>
      <c r="E929" s="19"/>
      <c r="F929" s="19"/>
      <c r="G929" s="19"/>
    </row>
    <row r="930">
      <c r="B930" s="20"/>
      <c r="C930" s="20"/>
      <c r="D930" s="19"/>
      <c r="E930" s="19"/>
      <c r="F930" s="19"/>
      <c r="G930" s="19"/>
    </row>
    <row r="931">
      <c r="B931" s="20"/>
      <c r="C931" s="20"/>
      <c r="D931" s="19"/>
      <c r="E931" s="19"/>
      <c r="F931" s="19"/>
      <c r="G931" s="19"/>
    </row>
    <row r="932">
      <c r="B932" s="20"/>
      <c r="C932" s="20"/>
      <c r="D932" s="19"/>
      <c r="E932" s="19"/>
      <c r="F932" s="19"/>
      <c r="G932" s="19"/>
    </row>
    <row r="933">
      <c r="B933" s="20"/>
      <c r="C933" s="20"/>
      <c r="D933" s="19"/>
      <c r="E933" s="19"/>
      <c r="F933" s="19"/>
      <c r="G933" s="19"/>
    </row>
    <row r="934">
      <c r="B934" s="20"/>
      <c r="C934" s="20"/>
      <c r="D934" s="19"/>
      <c r="E934" s="19"/>
      <c r="F934" s="19"/>
      <c r="G934" s="19"/>
    </row>
    <row r="935">
      <c r="B935" s="20"/>
      <c r="C935" s="20"/>
      <c r="D935" s="19"/>
      <c r="E935" s="19"/>
      <c r="F935" s="19"/>
      <c r="G935" s="19"/>
    </row>
    <row r="936">
      <c r="B936" s="20"/>
      <c r="C936" s="20"/>
      <c r="D936" s="19"/>
      <c r="E936" s="19"/>
      <c r="F936" s="19"/>
      <c r="G936" s="19"/>
    </row>
    <row r="937">
      <c r="B937" s="20"/>
      <c r="C937" s="20"/>
      <c r="D937" s="19"/>
      <c r="E937" s="19"/>
      <c r="F937" s="19"/>
      <c r="G937" s="19"/>
    </row>
    <row r="938">
      <c r="B938" s="20"/>
      <c r="C938" s="20"/>
      <c r="D938" s="19"/>
      <c r="E938" s="19"/>
      <c r="F938" s="19"/>
      <c r="G938" s="19"/>
    </row>
    <row r="939">
      <c r="B939" s="20"/>
      <c r="C939" s="20"/>
      <c r="D939" s="19"/>
      <c r="E939" s="19"/>
      <c r="F939" s="19"/>
      <c r="G939" s="19"/>
    </row>
    <row r="940">
      <c r="B940" s="20"/>
      <c r="C940" s="20"/>
      <c r="D940" s="19"/>
      <c r="E940" s="19"/>
      <c r="F940" s="19"/>
      <c r="G940" s="19"/>
    </row>
    <row r="941">
      <c r="B941" s="20"/>
      <c r="C941" s="20"/>
      <c r="D941" s="19"/>
      <c r="E941" s="19"/>
      <c r="F941" s="19"/>
      <c r="G941" s="19"/>
    </row>
    <row r="942">
      <c r="B942" s="20"/>
      <c r="C942" s="20"/>
      <c r="D942" s="19"/>
      <c r="E942" s="19"/>
      <c r="F942" s="19"/>
      <c r="G942" s="19"/>
    </row>
    <row r="943">
      <c r="B943" s="20"/>
      <c r="C943" s="20"/>
      <c r="D943" s="19"/>
      <c r="E943" s="19"/>
      <c r="F943" s="19"/>
      <c r="G943" s="19"/>
    </row>
    <row r="944">
      <c r="B944" s="20"/>
      <c r="C944" s="20"/>
      <c r="D944" s="19"/>
      <c r="E944" s="19"/>
      <c r="F944" s="19"/>
      <c r="G944" s="19"/>
    </row>
    <row r="945">
      <c r="B945" s="20"/>
      <c r="C945" s="20"/>
      <c r="D945" s="19"/>
      <c r="E945" s="19"/>
      <c r="F945" s="19"/>
      <c r="G945" s="19"/>
    </row>
    <row r="946">
      <c r="B946" s="20"/>
      <c r="C946" s="20"/>
      <c r="D946" s="19"/>
      <c r="E946" s="19"/>
      <c r="F946" s="19"/>
      <c r="G946" s="19"/>
    </row>
    <row r="947">
      <c r="B947" s="20"/>
      <c r="C947" s="20"/>
      <c r="D947" s="19"/>
      <c r="E947" s="19"/>
      <c r="F947" s="19"/>
      <c r="G947" s="19"/>
    </row>
    <row r="948">
      <c r="B948" s="20"/>
      <c r="C948" s="20"/>
      <c r="D948" s="19"/>
      <c r="E948" s="19"/>
      <c r="F948" s="19"/>
      <c r="G948" s="19"/>
    </row>
    <row r="949">
      <c r="B949" s="20"/>
      <c r="C949" s="20"/>
      <c r="D949" s="19"/>
      <c r="E949" s="19"/>
      <c r="F949" s="19"/>
      <c r="G949" s="19"/>
    </row>
    <row r="950">
      <c r="B950" s="20"/>
      <c r="C950" s="20"/>
      <c r="D950" s="19"/>
      <c r="E950" s="19"/>
      <c r="F950" s="19"/>
      <c r="G950" s="19"/>
    </row>
    <row r="951">
      <c r="B951" s="20"/>
      <c r="C951" s="20"/>
      <c r="D951" s="19"/>
      <c r="E951" s="19"/>
      <c r="F951" s="19"/>
      <c r="G951" s="19"/>
    </row>
    <row r="952">
      <c r="B952" s="20"/>
      <c r="C952" s="20"/>
      <c r="D952" s="19"/>
      <c r="E952" s="19"/>
      <c r="F952" s="19"/>
      <c r="G952" s="19"/>
    </row>
    <row r="953">
      <c r="B953" s="20"/>
      <c r="C953" s="20"/>
      <c r="D953" s="19"/>
      <c r="E953" s="19"/>
      <c r="F953" s="19"/>
      <c r="G953" s="19"/>
    </row>
    <row r="954">
      <c r="B954" s="20"/>
      <c r="C954" s="20"/>
      <c r="D954" s="19"/>
      <c r="E954" s="19"/>
      <c r="F954" s="19"/>
      <c r="G954" s="19"/>
    </row>
    <row r="955">
      <c r="B955" s="20"/>
      <c r="C955" s="20"/>
      <c r="D955" s="19"/>
      <c r="E955" s="19"/>
      <c r="F955" s="19"/>
      <c r="G955" s="19"/>
    </row>
    <row r="956">
      <c r="B956" s="20"/>
      <c r="C956" s="20"/>
      <c r="D956" s="19"/>
      <c r="E956" s="19"/>
      <c r="F956" s="19"/>
      <c r="G956" s="19"/>
    </row>
    <row r="957">
      <c r="B957" s="20"/>
      <c r="C957" s="20"/>
      <c r="D957" s="19"/>
      <c r="E957" s="19"/>
      <c r="F957" s="19"/>
      <c r="G957" s="19"/>
    </row>
    <row r="958">
      <c r="B958" s="20"/>
      <c r="C958" s="20"/>
      <c r="D958" s="19"/>
      <c r="E958" s="19"/>
      <c r="F958" s="19"/>
      <c r="G958" s="19"/>
    </row>
    <row r="959">
      <c r="B959" s="20"/>
      <c r="C959" s="20"/>
      <c r="D959" s="19"/>
      <c r="E959" s="19"/>
      <c r="F959" s="19"/>
      <c r="G959" s="19"/>
    </row>
    <row r="960">
      <c r="B960" s="20"/>
      <c r="C960" s="20"/>
      <c r="D960" s="19"/>
      <c r="E960" s="19"/>
      <c r="F960" s="19"/>
      <c r="G960" s="19"/>
    </row>
    <row r="961">
      <c r="B961" s="20"/>
      <c r="C961" s="20"/>
      <c r="D961" s="19"/>
      <c r="E961" s="19"/>
      <c r="F961" s="19"/>
      <c r="G961" s="19"/>
    </row>
    <row r="962">
      <c r="B962" s="20"/>
      <c r="C962" s="20"/>
      <c r="D962" s="19"/>
      <c r="E962" s="19"/>
      <c r="F962" s="19"/>
      <c r="G962" s="19"/>
    </row>
    <row r="963">
      <c r="B963" s="20"/>
      <c r="C963" s="20"/>
      <c r="D963" s="19"/>
      <c r="E963" s="19"/>
      <c r="F963" s="19"/>
      <c r="G963" s="19"/>
    </row>
    <row r="964">
      <c r="B964" s="20"/>
      <c r="C964" s="20"/>
      <c r="D964" s="19"/>
      <c r="E964" s="19"/>
      <c r="F964" s="19"/>
      <c r="G964" s="19"/>
    </row>
    <row r="965">
      <c r="B965" s="20"/>
      <c r="C965" s="20"/>
      <c r="D965" s="19"/>
      <c r="E965" s="19"/>
      <c r="F965" s="19"/>
      <c r="G965" s="19"/>
    </row>
    <row r="966">
      <c r="B966" s="20"/>
      <c r="C966" s="20"/>
      <c r="D966" s="19"/>
      <c r="E966" s="19"/>
      <c r="F966" s="19"/>
      <c r="G966" s="19"/>
    </row>
    <row r="967">
      <c r="B967" s="20"/>
      <c r="C967" s="20"/>
      <c r="D967" s="19"/>
      <c r="E967" s="19"/>
      <c r="F967" s="19"/>
      <c r="G967" s="19"/>
    </row>
    <row r="968">
      <c r="B968" s="20"/>
      <c r="C968" s="20"/>
      <c r="D968" s="19"/>
      <c r="E968" s="19"/>
      <c r="F968" s="19"/>
      <c r="G968" s="19"/>
    </row>
    <row r="969">
      <c r="B969" s="20"/>
      <c r="C969" s="20"/>
      <c r="D969" s="19"/>
      <c r="E969" s="19"/>
      <c r="F969" s="19"/>
      <c r="G969" s="19"/>
    </row>
    <row r="970">
      <c r="B970" s="20"/>
      <c r="C970" s="20"/>
      <c r="D970" s="19"/>
      <c r="E970" s="19"/>
      <c r="F970" s="19"/>
      <c r="G970" s="19"/>
    </row>
    <row r="971">
      <c r="B971" s="20"/>
      <c r="C971" s="20"/>
      <c r="D971" s="19"/>
      <c r="E971" s="19"/>
      <c r="F971" s="19"/>
      <c r="G971" s="19"/>
    </row>
    <row r="972">
      <c r="B972" s="20"/>
      <c r="C972" s="20"/>
      <c r="D972" s="19"/>
      <c r="E972" s="19"/>
      <c r="F972" s="19"/>
      <c r="G972" s="19"/>
    </row>
    <row r="973">
      <c r="B973" s="20"/>
      <c r="C973" s="20"/>
      <c r="D973" s="19"/>
      <c r="E973" s="19"/>
      <c r="F973" s="19"/>
      <c r="G973" s="19"/>
    </row>
    <row r="974">
      <c r="B974" s="20"/>
      <c r="C974" s="20"/>
      <c r="D974" s="19"/>
      <c r="E974" s="19"/>
      <c r="F974" s="19"/>
      <c r="G974" s="19"/>
    </row>
    <row r="975">
      <c r="B975" s="20"/>
      <c r="C975" s="20"/>
      <c r="D975" s="19"/>
      <c r="E975" s="19"/>
      <c r="F975" s="19"/>
      <c r="G975" s="19"/>
    </row>
    <row r="976">
      <c r="B976" s="20"/>
      <c r="C976" s="20"/>
      <c r="D976" s="19"/>
      <c r="E976" s="19"/>
      <c r="F976" s="19"/>
      <c r="G976" s="19"/>
    </row>
    <row r="977">
      <c r="B977" s="20"/>
      <c r="C977" s="20"/>
      <c r="D977" s="19"/>
      <c r="E977" s="19"/>
      <c r="F977" s="19"/>
      <c r="G977" s="19"/>
    </row>
    <row r="978">
      <c r="B978" s="20"/>
      <c r="C978" s="20"/>
      <c r="D978" s="19"/>
      <c r="E978" s="19"/>
      <c r="F978" s="19"/>
      <c r="G978" s="19"/>
    </row>
    <row r="979">
      <c r="B979" s="20"/>
      <c r="C979" s="20"/>
      <c r="D979" s="19"/>
      <c r="E979" s="19"/>
      <c r="F979" s="19"/>
      <c r="G979" s="19"/>
    </row>
    <row r="980">
      <c r="B980" s="20"/>
      <c r="C980" s="20"/>
      <c r="D980" s="19"/>
      <c r="E980" s="19"/>
      <c r="F980" s="19"/>
      <c r="G980" s="19"/>
    </row>
    <row r="981">
      <c r="B981" s="20"/>
      <c r="C981" s="20"/>
      <c r="D981" s="19"/>
      <c r="E981" s="19"/>
      <c r="F981" s="19"/>
      <c r="G981" s="19"/>
    </row>
    <row r="982">
      <c r="B982" s="20"/>
      <c r="C982" s="20"/>
      <c r="D982" s="19"/>
      <c r="E982" s="19"/>
      <c r="F982" s="19"/>
      <c r="G982" s="19"/>
    </row>
    <row r="983">
      <c r="B983" s="20"/>
      <c r="C983" s="20"/>
      <c r="D983" s="19"/>
      <c r="E983" s="19"/>
      <c r="F983" s="19"/>
      <c r="G983" s="19"/>
    </row>
    <row r="984">
      <c r="B984" s="20"/>
      <c r="C984" s="20"/>
      <c r="D984" s="19"/>
      <c r="E984" s="19"/>
      <c r="F984" s="19"/>
      <c r="G984" s="19"/>
    </row>
    <row r="985">
      <c r="B985" s="20"/>
      <c r="C985" s="20"/>
      <c r="D985" s="19"/>
      <c r="E985" s="19"/>
      <c r="F985" s="19"/>
      <c r="G985" s="19"/>
    </row>
    <row r="986">
      <c r="B986" s="20"/>
      <c r="C986" s="20"/>
      <c r="D986" s="19"/>
      <c r="E986" s="19"/>
      <c r="F986" s="19"/>
      <c r="G986" s="19"/>
    </row>
    <row r="987">
      <c r="B987" s="20"/>
      <c r="C987" s="20"/>
      <c r="D987" s="19"/>
      <c r="E987" s="19"/>
      <c r="F987" s="19"/>
      <c r="G987" s="19"/>
    </row>
    <row r="988">
      <c r="B988" s="20"/>
      <c r="C988" s="20"/>
      <c r="D988" s="19"/>
      <c r="E988" s="19"/>
      <c r="F988" s="19"/>
      <c r="G988" s="19"/>
    </row>
    <row r="989">
      <c r="B989" s="20"/>
      <c r="C989" s="20"/>
      <c r="D989" s="19"/>
      <c r="E989" s="19"/>
      <c r="F989" s="19"/>
      <c r="G989" s="19"/>
    </row>
    <row r="990">
      <c r="B990" s="20"/>
      <c r="C990" s="20"/>
      <c r="D990" s="19"/>
      <c r="E990" s="19"/>
      <c r="F990" s="19"/>
      <c r="G990" s="19"/>
    </row>
    <row r="991">
      <c r="B991" s="20"/>
      <c r="C991" s="20"/>
      <c r="D991" s="19"/>
      <c r="E991" s="19"/>
      <c r="F991" s="19"/>
      <c r="G991" s="19"/>
    </row>
    <row r="992">
      <c r="B992" s="20"/>
      <c r="C992" s="20"/>
      <c r="D992" s="19"/>
      <c r="E992" s="19"/>
      <c r="F992" s="19"/>
      <c r="G992" s="19"/>
    </row>
    <row r="993">
      <c r="B993" s="20"/>
      <c r="C993" s="20"/>
      <c r="D993" s="19"/>
      <c r="E993" s="19"/>
      <c r="F993" s="19"/>
      <c r="G993" s="19"/>
    </row>
    <row r="994">
      <c r="B994" s="20"/>
      <c r="C994" s="20"/>
      <c r="D994" s="19"/>
      <c r="E994" s="19"/>
      <c r="F994" s="19"/>
      <c r="G994" s="19"/>
    </row>
    <row r="995">
      <c r="B995" s="20"/>
      <c r="C995" s="20"/>
      <c r="D995" s="19"/>
      <c r="E995" s="19"/>
      <c r="F995" s="19"/>
      <c r="G995" s="19"/>
    </row>
    <row r="996">
      <c r="B996" s="20"/>
      <c r="C996" s="20"/>
      <c r="D996" s="19"/>
      <c r="E996" s="19"/>
      <c r="F996" s="19"/>
      <c r="G996" s="19"/>
    </row>
    <row r="997">
      <c r="B997" s="20"/>
      <c r="C997" s="20"/>
      <c r="D997" s="19"/>
      <c r="E997" s="19"/>
      <c r="F997" s="19"/>
      <c r="G997" s="19"/>
    </row>
    <row r="998">
      <c r="B998" s="20"/>
      <c r="C998" s="20"/>
      <c r="D998" s="19"/>
      <c r="E998" s="19"/>
      <c r="F998" s="19"/>
      <c r="G998" s="19"/>
    </row>
    <row r="999">
      <c r="B999" s="20"/>
      <c r="C999" s="20"/>
      <c r="D999" s="19"/>
      <c r="E999" s="19"/>
      <c r="F999" s="19"/>
      <c r="G999" s="19"/>
    </row>
    <row r="1000">
      <c r="B1000" s="20"/>
      <c r="C1000" s="20"/>
      <c r="D1000" s="19"/>
      <c r="E1000" s="19"/>
      <c r="F1000" s="19"/>
      <c r="G1000" s="19"/>
    </row>
    <row r="1001">
      <c r="B1001" s="20"/>
      <c r="C1001" s="20"/>
      <c r="D1001" s="19"/>
      <c r="E1001" s="19"/>
      <c r="F1001" s="19"/>
      <c r="G1001" s="19"/>
    </row>
    <row r="1002">
      <c r="B1002" s="20"/>
      <c r="C1002" s="20"/>
      <c r="D1002" s="19"/>
      <c r="E1002" s="19"/>
      <c r="F1002" s="19"/>
      <c r="G1002" s="19"/>
    </row>
    <row r="1003">
      <c r="B1003" s="20"/>
      <c r="C1003" s="20"/>
      <c r="D1003" s="19"/>
      <c r="E1003" s="19"/>
      <c r="F1003" s="19"/>
      <c r="G1003" s="19"/>
    </row>
    <row r="1004">
      <c r="B1004" s="20"/>
      <c r="C1004" s="20"/>
      <c r="D1004" s="19"/>
      <c r="E1004" s="19"/>
      <c r="F1004" s="19"/>
      <c r="G1004" s="19"/>
    </row>
    <row r="1005">
      <c r="B1005" s="20"/>
      <c r="C1005" s="20"/>
      <c r="D1005" s="19"/>
      <c r="E1005" s="19"/>
      <c r="F1005" s="19"/>
      <c r="G1005" s="19"/>
    </row>
    <row r="1006">
      <c r="B1006" s="20"/>
      <c r="C1006" s="20"/>
      <c r="D1006" s="19"/>
      <c r="E1006" s="19"/>
      <c r="F1006" s="19"/>
      <c r="G1006" s="19"/>
    </row>
    <row r="1007">
      <c r="B1007" s="20"/>
      <c r="C1007" s="20"/>
      <c r="D1007" s="19"/>
      <c r="E1007" s="19"/>
      <c r="F1007" s="19"/>
      <c r="G1007" s="19"/>
    </row>
    <row r="1008">
      <c r="B1008" s="20"/>
      <c r="C1008" s="20"/>
      <c r="D1008" s="19"/>
      <c r="E1008" s="19"/>
      <c r="F1008" s="19"/>
      <c r="G1008" s="19"/>
    </row>
    <row r="1009">
      <c r="B1009" s="20"/>
      <c r="C1009" s="20"/>
      <c r="D1009" s="19"/>
      <c r="E1009" s="19"/>
      <c r="F1009" s="19"/>
      <c r="G1009" s="19"/>
    </row>
    <row r="1010">
      <c r="B1010" s="20"/>
      <c r="C1010" s="20"/>
      <c r="D1010" s="19"/>
      <c r="E1010" s="19"/>
      <c r="F1010" s="19"/>
      <c r="G1010" s="19"/>
    </row>
    <row r="1011">
      <c r="B1011" s="20"/>
      <c r="C1011" s="20"/>
      <c r="D1011" s="19"/>
      <c r="E1011" s="19"/>
      <c r="F1011" s="19"/>
      <c r="G1011" s="19"/>
    </row>
    <row r="1012">
      <c r="B1012" s="20"/>
      <c r="C1012" s="20"/>
      <c r="D1012" s="19"/>
      <c r="E1012" s="19"/>
      <c r="F1012" s="19"/>
      <c r="G1012" s="19"/>
    </row>
    <row r="1013">
      <c r="B1013" s="20"/>
      <c r="C1013" s="20"/>
      <c r="D1013" s="19"/>
      <c r="E1013" s="19"/>
      <c r="F1013" s="19"/>
      <c r="G1013" s="19"/>
    </row>
    <row r="1014">
      <c r="B1014" s="20"/>
      <c r="C1014" s="20"/>
      <c r="D1014" s="19"/>
      <c r="E1014" s="19"/>
      <c r="F1014" s="19"/>
      <c r="G1014" s="19"/>
    </row>
    <row r="1015">
      <c r="B1015" s="20"/>
      <c r="C1015" s="20"/>
      <c r="D1015" s="19"/>
      <c r="E1015" s="19"/>
      <c r="F1015" s="19"/>
      <c r="G1015" s="19"/>
    </row>
    <row r="1016">
      <c r="B1016" s="20"/>
      <c r="C1016" s="20"/>
      <c r="D1016" s="19"/>
      <c r="E1016" s="19"/>
      <c r="F1016" s="19"/>
      <c r="G1016" s="19"/>
    </row>
    <row r="1017">
      <c r="B1017" s="20"/>
      <c r="C1017" s="20"/>
      <c r="D1017" s="19"/>
      <c r="E1017" s="19"/>
      <c r="F1017" s="19"/>
      <c r="G1017" s="19"/>
    </row>
    <row r="1018">
      <c r="B1018" s="20"/>
      <c r="C1018" s="20"/>
      <c r="D1018" s="19"/>
      <c r="E1018" s="19"/>
      <c r="F1018" s="19"/>
      <c r="G1018" s="19"/>
    </row>
    <row r="1019">
      <c r="B1019" s="20"/>
      <c r="C1019" s="20"/>
      <c r="D1019" s="19"/>
      <c r="E1019" s="19"/>
      <c r="F1019" s="19"/>
      <c r="G1019" s="19"/>
    </row>
    <row r="1020">
      <c r="B1020" s="20"/>
      <c r="C1020" s="20"/>
      <c r="D1020" s="19"/>
      <c r="E1020" s="19"/>
      <c r="F1020" s="19"/>
      <c r="G1020" s="19"/>
    </row>
    <row r="1021">
      <c r="B1021" s="20"/>
      <c r="C1021" s="20"/>
      <c r="D1021" s="19"/>
      <c r="E1021" s="19"/>
      <c r="F1021" s="19"/>
      <c r="G1021" s="19"/>
    </row>
    <row r="1022">
      <c r="B1022" s="20"/>
      <c r="C1022" s="20"/>
      <c r="D1022" s="19"/>
      <c r="E1022" s="19"/>
      <c r="F1022" s="19"/>
      <c r="G1022" s="19"/>
    </row>
    <row r="1023">
      <c r="B1023" s="20"/>
      <c r="C1023" s="20"/>
      <c r="D1023" s="19"/>
      <c r="E1023" s="19"/>
      <c r="F1023" s="19"/>
      <c r="G1023" s="19"/>
    </row>
    <row r="1024">
      <c r="B1024" s="20"/>
      <c r="C1024" s="20"/>
      <c r="D1024" s="19"/>
      <c r="E1024" s="19"/>
      <c r="F1024" s="19"/>
      <c r="G1024" s="19"/>
    </row>
    <row r="1025">
      <c r="B1025" s="20"/>
      <c r="C1025" s="20"/>
      <c r="D1025" s="19"/>
      <c r="E1025" s="19"/>
      <c r="F1025" s="19"/>
      <c r="G1025" s="19"/>
    </row>
    <row r="1026">
      <c r="B1026" s="20"/>
      <c r="C1026" s="20"/>
      <c r="D1026" s="19"/>
      <c r="E1026" s="19"/>
      <c r="F1026" s="19"/>
      <c r="G1026" s="19"/>
    </row>
    <row r="1027">
      <c r="B1027" s="20"/>
      <c r="C1027" s="20"/>
      <c r="D1027" s="19"/>
      <c r="E1027" s="19"/>
      <c r="F1027" s="19"/>
      <c r="G1027" s="19"/>
    </row>
    <row r="1028">
      <c r="B1028" s="20"/>
      <c r="C1028" s="20"/>
      <c r="D1028" s="19"/>
      <c r="E1028" s="19"/>
      <c r="F1028" s="19"/>
      <c r="G1028" s="19"/>
    </row>
    <row r="1029">
      <c r="B1029" s="20"/>
      <c r="C1029" s="20"/>
      <c r="D1029" s="19"/>
      <c r="E1029" s="19"/>
      <c r="F1029" s="19"/>
      <c r="G1029" s="19"/>
    </row>
    <row r="1030">
      <c r="B1030" s="20"/>
      <c r="C1030" s="20"/>
      <c r="D1030" s="19"/>
      <c r="E1030" s="19"/>
      <c r="F1030" s="19"/>
      <c r="G1030" s="19"/>
    </row>
    <row r="1031">
      <c r="B1031" s="20"/>
      <c r="C1031" s="20"/>
      <c r="D1031" s="19"/>
      <c r="E1031" s="19"/>
      <c r="F1031" s="19"/>
      <c r="G1031" s="19"/>
    </row>
    <row r="1032">
      <c r="B1032" s="20"/>
      <c r="C1032" s="20"/>
      <c r="D1032" s="19"/>
      <c r="E1032" s="19"/>
      <c r="F1032" s="19"/>
      <c r="G1032" s="19"/>
    </row>
    <row r="1033">
      <c r="B1033" s="20"/>
      <c r="C1033" s="20"/>
      <c r="D1033" s="19"/>
      <c r="E1033" s="19"/>
      <c r="F1033" s="19"/>
      <c r="G1033" s="19"/>
    </row>
    <row r="1034">
      <c r="B1034" s="20"/>
      <c r="C1034" s="20"/>
      <c r="D1034" s="19"/>
      <c r="E1034" s="19"/>
      <c r="F1034" s="19"/>
      <c r="G1034" s="19"/>
    </row>
    <row r="1035">
      <c r="B1035" s="20"/>
      <c r="C1035" s="20"/>
      <c r="D1035" s="19"/>
      <c r="E1035" s="19"/>
      <c r="F1035" s="19"/>
      <c r="G1035" s="19"/>
    </row>
    <row r="1036">
      <c r="B1036" s="20"/>
      <c r="C1036" s="20"/>
      <c r="D1036" s="19"/>
      <c r="E1036" s="19"/>
      <c r="F1036" s="19"/>
      <c r="G1036" s="19"/>
    </row>
    <row r="1037">
      <c r="B1037" s="20"/>
      <c r="C1037" s="20"/>
      <c r="D1037" s="19"/>
      <c r="E1037" s="19"/>
      <c r="F1037" s="19"/>
      <c r="G1037" s="19"/>
    </row>
    <row r="1038">
      <c r="B1038" s="20"/>
      <c r="C1038" s="20"/>
      <c r="D1038" s="19"/>
      <c r="E1038" s="19"/>
      <c r="F1038" s="19"/>
      <c r="G1038" s="19"/>
    </row>
    <row r="1039">
      <c r="B1039" s="20"/>
      <c r="C1039" s="20"/>
      <c r="D1039" s="19"/>
      <c r="E1039" s="19"/>
      <c r="F1039" s="19"/>
      <c r="G1039" s="19"/>
    </row>
    <row r="1040">
      <c r="B1040" s="20"/>
      <c r="C1040" s="20"/>
      <c r="D1040" s="19"/>
      <c r="E1040" s="19"/>
      <c r="F1040" s="19"/>
      <c r="G1040" s="19"/>
    </row>
    <row r="1041">
      <c r="B1041" s="20"/>
      <c r="C1041" s="20"/>
      <c r="D1041" s="19"/>
      <c r="E1041" s="19"/>
      <c r="F1041" s="19"/>
      <c r="G1041" s="19"/>
    </row>
    <row r="1042">
      <c r="B1042" s="20"/>
      <c r="C1042" s="20"/>
      <c r="D1042" s="19"/>
      <c r="E1042" s="19"/>
      <c r="F1042" s="19"/>
      <c r="G1042" s="19"/>
    </row>
    <row r="1043">
      <c r="B1043" s="20"/>
      <c r="C1043" s="20"/>
      <c r="D1043" s="19"/>
      <c r="E1043" s="19"/>
      <c r="F1043" s="19"/>
      <c r="G1043" s="19"/>
    </row>
    <row r="1044">
      <c r="B1044" s="20"/>
      <c r="C1044" s="20"/>
      <c r="D1044" s="19"/>
      <c r="E1044" s="19"/>
      <c r="F1044" s="19"/>
      <c r="G1044" s="19"/>
    </row>
    <row r="1045">
      <c r="B1045" s="20"/>
      <c r="C1045" s="20"/>
      <c r="D1045" s="19"/>
      <c r="E1045" s="19"/>
      <c r="F1045" s="19"/>
      <c r="G1045" s="19"/>
    </row>
    <row r="1046">
      <c r="B1046" s="20"/>
      <c r="C1046" s="20"/>
      <c r="D1046" s="19"/>
      <c r="E1046" s="19"/>
      <c r="F1046" s="19"/>
      <c r="G1046" s="19"/>
    </row>
    <row r="1047">
      <c r="B1047" s="20"/>
      <c r="C1047" s="20"/>
      <c r="D1047" s="19"/>
      <c r="E1047" s="19"/>
      <c r="F1047" s="19"/>
      <c r="G1047" s="19"/>
    </row>
    <row r="1048">
      <c r="B1048" s="20"/>
      <c r="C1048" s="20"/>
      <c r="D1048" s="19"/>
      <c r="E1048" s="19"/>
      <c r="F1048" s="19"/>
      <c r="G1048" s="19"/>
    </row>
    <row r="1049">
      <c r="B1049" s="20"/>
      <c r="C1049" s="20"/>
      <c r="D1049" s="19"/>
      <c r="E1049" s="19"/>
      <c r="F1049" s="19"/>
      <c r="G1049" s="19"/>
    </row>
    <row r="1050">
      <c r="B1050" s="20"/>
      <c r="C1050" s="20"/>
      <c r="D1050" s="19"/>
      <c r="E1050" s="19"/>
      <c r="F1050" s="19"/>
      <c r="G1050" s="19"/>
    </row>
    <row r="1051">
      <c r="B1051" s="20"/>
      <c r="C1051" s="20"/>
      <c r="D1051" s="19"/>
      <c r="E1051" s="19"/>
      <c r="F1051" s="19"/>
      <c r="G1051" s="19"/>
    </row>
    <row r="1052">
      <c r="B1052" s="20"/>
      <c r="C1052" s="20"/>
      <c r="D1052" s="19"/>
      <c r="E1052" s="19"/>
      <c r="F1052" s="19"/>
      <c r="G1052" s="19"/>
    </row>
    <row r="1053">
      <c r="B1053" s="20"/>
      <c r="C1053" s="20"/>
      <c r="D1053" s="19"/>
      <c r="E1053" s="19"/>
      <c r="F1053" s="19"/>
      <c r="G1053" s="19"/>
    </row>
    <row r="1054">
      <c r="B1054" s="20"/>
      <c r="C1054" s="20"/>
      <c r="D1054" s="19"/>
      <c r="E1054" s="19"/>
      <c r="F1054" s="19"/>
      <c r="G1054" s="19"/>
    </row>
    <row r="1055">
      <c r="B1055" s="20"/>
      <c r="C1055" s="20"/>
      <c r="D1055" s="19"/>
      <c r="E1055" s="19"/>
      <c r="F1055" s="19"/>
      <c r="G1055" s="19"/>
    </row>
    <row r="1056">
      <c r="B1056" s="20"/>
      <c r="C1056" s="20"/>
      <c r="D1056" s="19"/>
      <c r="E1056" s="19"/>
      <c r="F1056" s="19"/>
      <c r="G1056" s="19"/>
    </row>
    <row r="1057">
      <c r="B1057" s="20"/>
      <c r="C1057" s="20"/>
      <c r="D1057" s="19"/>
      <c r="E1057" s="19"/>
      <c r="F1057" s="19"/>
      <c r="G1057" s="19"/>
    </row>
    <row r="1058">
      <c r="B1058" s="20"/>
      <c r="C1058" s="20"/>
      <c r="D1058" s="19"/>
      <c r="E1058" s="19"/>
      <c r="F1058" s="19"/>
      <c r="G1058" s="19"/>
    </row>
    <row r="1059">
      <c r="B1059" s="20"/>
      <c r="C1059" s="20"/>
      <c r="D1059" s="19"/>
      <c r="E1059" s="19"/>
      <c r="F1059" s="19"/>
      <c r="G1059" s="19"/>
    </row>
    <row r="1060">
      <c r="B1060" s="20"/>
      <c r="C1060" s="20"/>
      <c r="D1060" s="19"/>
      <c r="E1060" s="19"/>
      <c r="F1060" s="19"/>
      <c r="G1060" s="19"/>
    </row>
    <row r="1061">
      <c r="B1061" s="20"/>
      <c r="C1061" s="20"/>
      <c r="D1061" s="19"/>
      <c r="E1061" s="19"/>
      <c r="F1061" s="19"/>
      <c r="G1061" s="19"/>
    </row>
    <row r="1062">
      <c r="B1062" s="20"/>
      <c r="C1062" s="20"/>
      <c r="D1062" s="19"/>
      <c r="E1062" s="19"/>
      <c r="F1062" s="19"/>
      <c r="G1062" s="19"/>
    </row>
    <row r="1063">
      <c r="B1063" s="20"/>
      <c r="C1063" s="20"/>
      <c r="D1063" s="19"/>
      <c r="E1063" s="19"/>
      <c r="F1063" s="19"/>
      <c r="G1063" s="19"/>
    </row>
    <row r="1064">
      <c r="B1064" s="20"/>
      <c r="C1064" s="20"/>
      <c r="D1064" s="19"/>
      <c r="E1064" s="19"/>
      <c r="F1064" s="19"/>
      <c r="G1064" s="19"/>
    </row>
    <row r="1065">
      <c r="B1065" s="20"/>
      <c r="C1065" s="20"/>
      <c r="D1065" s="19"/>
      <c r="E1065" s="19"/>
      <c r="F1065" s="19"/>
      <c r="G1065" s="19"/>
    </row>
    <row r="1066">
      <c r="B1066" s="20"/>
      <c r="C1066" s="20"/>
      <c r="D1066" s="19"/>
      <c r="E1066" s="19"/>
      <c r="F1066" s="19"/>
      <c r="G1066" s="19"/>
    </row>
    <row r="1067">
      <c r="B1067" s="20"/>
      <c r="C1067" s="20"/>
      <c r="D1067" s="19"/>
      <c r="E1067" s="19"/>
      <c r="F1067" s="19"/>
      <c r="G1067" s="19"/>
    </row>
    <row r="1068">
      <c r="B1068" s="20"/>
      <c r="C1068" s="20"/>
      <c r="D1068" s="19"/>
      <c r="E1068" s="19"/>
      <c r="F1068" s="19"/>
      <c r="G1068" s="19"/>
    </row>
    <row r="1069">
      <c r="B1069" s="20"/>
      <c r="C1069" s="20"/>
      <c r="D1069" s="19"/>
      <c r="E1069" s="19"/>
      <c r="F1069" s="19"/>
      <c r="G1069" s="19"/>
    </row>
    <row r="1070">
      <c r="B1070" s="20"/>
      <c r="C1070" s="20"/>
      <c r="D1070" s="19"/>
      <c r="E1070" s="19"/>
      <c r="F1070" s="19"/>
      <c r="G1070" s="19"/>
    </row>
    <row r="1071">
      <c r="B1071" s="20"/>
      <c r="C1071" s="20"/>
      <c r="D1071" s="19"/>
      <c r="E1071" s="19"/>
      <c r="F1071" s="19"/>
      <c r="G1071" s="19"/>
    </row>
    <row r="1072">
      <c r="B1072" s="20"/>
      <c r="C1072" s="20"/>
      <c r="D1072" s="19"/>
      <c r="E1072" s="19"/>
      <c r="F1072" s="19"/>
      <c r="G1072" s="19"/>
    </row>
    <row r="1073">
      <c r="B1073" s="20"/>
      <c r="C1073" s="20"/>
      <c r="D1073" s="19"/>
      <c r="E1073" s="19"/>
      <c r="F1073" s="19"/>
      <c r="G1073" s="19"/>
    </row>
    <row r="1074">
      <c r="B1074" s="20"/>
      <c r="C1074" s="20"/>
      <c r="D1074" s="19"/>
      <c r="E1074" s="19"/>
      <c r="F1074" s="19"/>
      <c r="G1074" s="19"/>
    </row>
    <row r="1075">
      <c r="B1075" s="20"/>
      <c r="C1075" s="20"/>
      <c r="D1075" s="19"/>
      <c r="E1075" s="19"/>
      <c r="F1075" s="19"/>
      <c r="G1075" s="19"/>
    </row>
    <row r="1076">
      <c r="B1076" s="20"/>
      <c r="C1076" s="20"/>
      <c r="D1076" s="19"/>
      <c r="E1076" s="19"/>
      <c r="F1076" s="19"/>
      <c r="G1076" s="19"/>
    </row>
    <row r="1077">
      <c r="B1077" s="20"/>
      <c r="C1077" s="20"/>
      <c r="D1077" s="19"/>
      <c r="E1077" s="19"/>
      <c r="F1077" s="19"/>
      <c r="G1077" s="19"/>
    </row>
    <row r="1078">
      <c r="B1078" s="20"/>
      <c r="C1078" s="20"/>
      <c r="D1078" s="19"/>
      <c r="E1078" s="19"/>
      <c r="F1078" s="19"/>
      <c r="G1078" s="19"/>
    </row>
    <row r="1079">
      <c r="B1079" s="20"/>
      <c r="C1079" s="20"/>
      <c r="D1079" s="19"/>
      <c r="E1079" s="19"/>
      <c r="F1079" s="19"/>
      <c r="G1079" s="19"/>
    </row>
    <row r="1080">
      <c r="B1080" s="20"/>
      <c r="C1080" s="20"/>
      <c r="D1080" s="19"/>
      <c r="E1080" s="19"/>
      <c r="F1080" s="19"/>
      <c r="G1080" s="19"/>
    </row>
    <row r="1081">
      <c r="B1081" s="20"/>
      <c r="C1081" s="20"/>
      <c r="D1081" s="19"/>
      <c r="E1081" s="19"/>
      <c r="F1081" s="19"/>
      <c r="G1081" s="19"/>
    </row>
    <row r="1082">
      <c r="B1082" s="20"/>
      <c r="C1082" s="20"/>
      <c r="D1082" s="19"/>
      <c r="E1082" s="19"/>
      <c r="F1082" s="19"/>
      <c r="G1082" s="19"/>
    </row>
    <row r="1083">
      <c r="B1083" s="20"/>
      <c r="C1083" s="20"/>
      <c r="D1083" s="19"/>
      <c r="E1083" s="19"/>
      <c r="F1083" s="19"/>
      <c r="G1083" s="19"/>
    </row>
    <row r="1084">
      <c r="B1084" s="20"/>
      <c r="C1084" s="20"/>
      <c r="D1084" s="19"/>
      <c r="E1084" s="19"/>
      <c r="F1084" s="19"/>
      <c r="G1084" s="19"/>
    </row>
    <row r="1085">
      <c r="B1085" s="20"/>
      <c r="C1085" s="20"/>
      <c r="D1085" s="19"/>
      <c r="E1085" s="19"/>
      <c r="F1085" s="19"/>
      <c r="G1085" s="19"/>
    </row>
    <row r="1086">
      <c r="B1086" s="20"/>
      <c r="C1086" s="20"/>
      <c r="D1086" s="19"/>
      <c r="E1086" s="19"/>
      <c r="F1086" s="19"/>
      <c r="G1086" s="19"/>
    </row>
    <row r="1087">
      <c r="B1087" s="20"/>
      <c r="C1087" s="20"/>
      <c r="D1087" s="19"/>
      <c r="E1087" s="19"/>
      <c r="F1087" s="19"/>
      <c r="G1087" s="19"/>
    </row>
    <row r="1088">
      <c r="B1088" s="20"/>
      <c r="C1088" s="20"/>
      <c r="D1088" s="19"/>
      <c r="E1088" s="19"/>
      <c r="F1088" s="19"/>
      <c r="G1088" s="19"/>
    </row>
    <row r="1089">
      <c r="B1089" s="20"/>
      <c r="C1089" s="20"/>
      <c r="D1089" s="19"/>
      <c r="E1089" s="19"/>
      <c r="F1089" s="19"/>
      <c r="G1089" s="19"/>
    </row>
    <row r="1090">
      <c r="B1090" s="20"/>
      <c r="C1090" s="20"/>
      <c r="D1090" s="19"/>
      <c r="E1090" s="19"/>
      <c r="F1090" s="19"/>
      <c r="G1090" s="19"/>
    </row>
    <row r="1091">
      <c r="B1091" s="20"/>
      <c r="C1091" s="20"/>
      <c r="D1091" s="19"/>
      <c r="E1091" s="19"/>
      <c r="F1091" s="19"/>
      <c r="G1091" s="19"/>
    </row>
    <row r="1092">
      <c r="B1092" s="20"/>
      <c r="C1092" s="20"/>
      <c r="D1092" s="19"/>
      <c r="E1092" s="19"/>
      <c r="F1092" s="19"/>
      <c r="G1092" s="19"/>
    </row>
    <row r="1093">
      <c r="B1093" s="20"/>
      <c r="C1093" s="20"/>
      <c r="D1093" s="19"/>
      <c r="E1093" s="19"/>
      <c r="F1093" s="19"/>
      <c r="G1093" s="19"/>
    </row>
    <row r="1094">
      <c r="B1094" s="20"/>
      <c r="C1094" s="20"/>
      <c r="D1094" s="19"/>
      <c r="E1094" s="19"/>
      <c r="F1094" s="19"/>
      <c r="G1094" s="19"/>
    </row>
    <row r="1095">
      <c r="B1095" s="20"/>
      <c r="C1095" s="20"/>
      <c r="D1095" s="19"/>
      <c r="E1095" s="19"/>
      <c r="F1095" s="19"/>
      <c r="G1095" s="19"/>
    </row>
    <row r="1096">
      <c r="B1096" s="20"/>
      <c r="C1096" s="20"/>
      <c r="D1096" s="19"/>
      <c r="E1096" s="19"/>
      <c r="F1096" s="19"/>
      <c r="G1096" s="19"/>
    </row>
    <row r="1097">
      <c r="B1097" s="20"/>
      <c r="C1097" s="20"/>
      <c r="D1097" s="19"/>
      <c r="E1097" s="19"/>
      <c r="F1097" s="19"/>
      <c r="G1097" s="19"/>
    </row>
    <row r="1098">
      <c r="B1098" s="20"/>
      <c r="C1098" s="20"/>
      <c r="D1098" s="19"/>
      <c r="E1098" s="19"/>
      <c r="F1098" s="19"/>
      <c r="G1098" s="19"/>
    </row>
    <row r="1099">
      <c r="B1099" s="20"/>
      <c r="C1099" s="20"/>
      <c r="D1099" s="19"/>
      <c r="E1099" s="19"/>
      <c r="F1099" s="19"/>
      <c r="G1099" s="19"/>
    </row>
    <row r="1100">
      <c r="B1100" s="20"/>
      <c r="C1100" s="20"/>
      <c r="D1100" s="19"/>
      <c r="E1100" s="19"/>
      <c r="F1100" s="19"/>
      <c r="G1100" s="19"/>
    </row>
    <row r="1101">
      <c r="B1101" s="20"/>
      <c r="C1101" s="20"/>
      <c r="D1101" s="19"/>
      <c r="E1101" s="19"/>
      <c r="F1101" s="19"/>
      <c r="G1101" s="19"/>
    </row>
    <row r="1102">
      <c r="B1102" s="20"/>
      <c r="C1102" s="20"/>
      <c r="D1102" s="19"/>
      <c r="E1102" s="19"/>
      <c r="F1102" s="19"/>
      <c r="G1102" s="19"/>
    </row>
    <row r="1103">
      <c r="B1103" s="20"/>
      <c r="C1103" s="20"/>
      <c r="D1103" s="19"/>
      <c r="E1103" s="19"/>
      <c r="F1103" s="19"/>
      <c r="G1103" s="19"/>
    </row>
    <row r="1104">
      <c r="B1104" s="20"/>
      <c r="C1104" s="20"/>
      <c r="D1104" s="19"/>
      <c r="E1104" s="19"/>
      <c r="F1104" s="19"/>
      <c r="G1104" s="19"/>
    </row>
    <row r="1105">
      <c r="B1105" s="20"/>
      <c r="C1105" s="20"/>
      <c r="D1105" s="19"/>
      <c r="E1105" s="19"/>
      <c r="F1105" s="19"/>
      <c r="G1105" s="19"/>
    </row>
    <row r="1106">
      <c r="B1106" s="20"/>
      <c r="C1106" s="20"/>
      <c r="D1106" s="19"/>
      <c r="E1106" s="19"/>
      <c r="F1106" s="19"/>
      <c r="G1106" s="19"/>
    </row>
    <row r="1107">
      <c r="B1107" s="20"/>
      <c r="C1107" s="20"/>
      <c r="D1107" s="19"/>
      <c r="E1107" s="19"/>
      <c r="F1107" s="19"/>
      <c r="G1107" s="19"/>
    </row>
    <row r="1108">
      <c r="B1108" s="20"/>
      <c r="C1108" s="20"/>
      <c r="D1108" s="19"/>
      <c r="E1108" s="19"/>
      <c r="F1108" s="19"/>
      <c r="G1108" s="19"/>
    </row>
    <row r="1109">
      <c r="B1109" s="20"/>
      <c r="C1109" s="20"/>
      <c r="D1109" s="19"/>
      <c r="E1109" s="19"/>
      <c r="F1109" s="19"/>
      <c r="G1109" s="19"/>
    </row>
    <row r="1110">
      <c r="B1110" s="20"/>
      <c r="C1110" s="20"/>
      <c r="D1110" s="19"/>
      <c r="E1110" s="19"/>
      <c r="F1110" s="19"/>
      <c r="G1110" s="19"/>
    </row>
    <row r="1111">
      <c r="B1111" s="20"/>
      <c r="C1111" s="20"/>
      <c r="D1111" s="19"/>
      <c r="E1111" s="19"/>
      <c r="F1111" s="19"/>
      <c r="G1111" s="19"/>
    </row>
    <row r="1112">
      <c r="B1112" s="20"/>
      <c r="C1112" s="20"/>
      <c r="D1112" s="19"/>
      <c r="E1112" s="19"/>
      <c r="F1112" s="19"/>
      <c r="G1112" s="19"/>
    </row>
    <row r="1113">
      <c r="B1113" s="20"/>
      <c r="C1113" s="20"/>
      <c r="D1113" s="19"/>
      <c r="E1113" s="19"/>
      <c r="F1113" s="19"/>
      <c r="G1113" s="19"/>
    </row>
    <row r="1114">
      <c r="B1114" s="20"/>
      <c r="C1114" s="20"/>
      <c r="D1114" s="19"/>
      <c r="E1114" s="19"/>
      <c r="F1114" s="19"/>
      <c r="G1114" s="19"/>
    </row>
    <row r="1115">
      <c r="B1115" s="20"/>
      <c r="C1115" s="20"/>
      <c r="D1115" s="19"/>
      <c r="E1115" s="19"/>
      <c r="F1115" s="19"/>
      <c r="G1115" s="19"/>
    </row>
    <row r="1116">
      <c r="B1116" s="20"/>
      <c r="C1116" s="20"/>
      <c r="D1116" s="19"/>
      <c r="E1116" s="19"/>
      <c r="F1116" s="19"/>
      <c r="G1116" s="19"/>
    </row>
    <row r="1117">
      <c r="B1117" s="20"/>
      <c r="C1117" s="20"/>
      <c r="D1117" s="19"/>
      <c r="E1117" s="19"/>
      <c r="F1117" s="19"/>
      <c r="G1117" s="19"/>
    </row>
    <row r="1118">
      <c r="B1118" s="20"/>
      <c r="C1118" s="20"/>
      <c r="D1118" s="19"/>
      <c r="E1118" s="19"/>
      <c r="F1118" s="19"/>
      <c r="G1118" s="19"/>
    </row>
    <row r="1119">
      <c r="B1119" s="20"/>
      <c r="C1119" s="20"/>
      <c r="D1119" s="19"/>
      <c r="E1119" s="19"/>
      <c r="F1119" s="19"/>
      <c r="G1119" s="19"/>
    </row>
    <row r="1120">
      <c r="B1120" s="20"/>
      <c r="C1120" s="20"/>
      <c r="D1120" s="19"/>
      <c r="E1120" s="19"/>
      <c r="F1120" s="19"/>
      <c r="G1120" s="19"/>
    </row>
    <row r="1121">
      <c r="B1121" s="20"/>
      <c r="C1121" s="20"/>
      <c r="D1121" s="19"/>
      <c r="E1121" s="19"/>
      <c r="F1121" s="19"/>
      <c r="G1121" s="19"/>
    </row>
    <row r="1122">
      <c r="B1122" s="20"/>
      <c r="C1122" s="20"/>
      <c r="D1122" s="19"/>
      <c r="E1122" s="19"/>
      <c r="F1122" s="19"/>
      <c r="G1122" s="19"/>
    </row>
    <row r="1123">
      <c r="B1123" s="20"/>
      <c r="C1123" s="20"/>
      <c r="D1123" s="19"/>
      <c r="E1123" s="19"/>
      <c r="F1123" s="19"/>
      <c r="G1123" s="19"/>
    </row>
    <row r="1124">
      <c r="B1124" s="20"/>
      <c r="C1124" s="20"/>
      <c r="D1124" s="19"/>
      <c r="E1124" s="19"/>
      <c r="F1124" s="19"/>
      <c r="G1124" s="19"/>
    </row>
    <row r="1125">
      <c r="B1125" s="20"/>
      <c r="C1125" s="20"/>
      <c r="D1125" s="19"/>
      <c r="E1125" s="19"/>
      <c r="F1125" s="19"/>
      <c r="G1125" s="19"/>
    </row>
    <row r="1126">
      <c r="B1126" s="20"/>
      <c r="C1126" s="20"/>
      <c r="D1126" s="19"/>
      <c r="E1126" s="19"/>
      <c r="F1126" s="19"/>
      <c r="G1126" s="19"/>
    </row>
    <row r="1127">
      <c r="B1127" s="20"/>
      <c r="C1127" s="20"/>
      <c r="D1127" s="19"/>
      <c r="E1127" s="19"/>
      <c r="F1127" s="19"/>
      <c r="G1127" s="19"/>
    </row>
    <row r="1128">
      <c r="B1128" s="20"/>
      <c r="C1128" s="20"/>
      <c r="D1128" s="19"/>
      <c r="E1128" s="19"/>
      <c r="F1128" s="19"/>
      <c r="G1128" s="19"/>
    </row>
    <row r="1129">
      <c r="B1129" s="20"/>
      <c r="C1129" s="20"/>
      <c r="D1129" s="19"/>
      <c r="E1129" s="19"/>
      <c r="F1129" s="19"/>
      <c r="G1129" s="19"/>
    </row>
    <row r="1130">
      <c r="B1130" s="20"/>
      <c r="C1130" s="20"/>
      <c r="D1130" s="19"/>
      <c r="E1130" s="19"/>
      <c r="F1130" s="19"/>
      <c r="G1130" s="19"/>
    </row>
    <row r="1131">
      <c r="B1131" s="20"/>
      <c r="C1131" s="20"/>
      <c r="D1131" s="19"/>
      <c r="E1131" s="19"/>
      <c r="F1131" s="19"/>
      <c r="G1131" s="19"/>
    </row>
    <row r="1132">
      <c r="B1132" s="20"/>
      <c r="C1132" s="20"/>
      <c r="D1132" s="19"/>
      <c r="E1132" s="19"/>
      <c r="F1132" s="19"/>
      <c r="G1132" s="19"/>
    </row>
    <row r="1133">
      <c r="B1133" s="20"/>
      <c r="C1133" s="20"/>
      <c r="D1133" s="19"/>
      <c r="E1133" s="19"/>
      <c r="F1133" s="19"/>
      <c r="G1133" s="19"/>
    </row>
    <row r="1134">
      <c r="B1134" s="20"/>
      <c r="C1134" s="20"/>
      <c r="D1134" s="19"/>
      <c r="E1134" s="19"/>
      <c r="F1134" s="19"/>
      <c r="G1134" s="19"/>
    </row>
    <row r="1135">
      <c r="B1135" s="20"/>
      <c r="C1135" s="20"/>
      <c r="D1135" s="19"/>
      <c r="E1135" s="19"/>
      <c r="F1135" s="19"/>
      <c r="G1135" s="19"/>
    </row>
    <row r="1136">
      <c r="B1136" s="20"/>
      <c r="C1136" s="20"/>
      <c r="D1136" s="19"/>
      <c r="E1136" s="19"/>
      <c r="F1136" s="19"/>
      <c r="G1136" s="19"/>
    </row>
    <row r="1137">
      <c r="B1137" s="20"/>
      <c r="C1137" s="20"/>
      <c r="D1137" s="19"/>
      <c r="E1137" s="19"/>
      <c r="F1137" s="19"/>
      <c r="G1137" s="19"/>
    </row>
    <row r="1138">
      <c r="B1138" s="20"/>
      <c r="C1138" s="20"/>
      <c r="D1138" s="19"/>
      <c r="E1138" s="19"/>
      <c r="F1138" s="19"/>
      <c r="G1138" s="19"/>
    </row>
    <row r="1139">
      <c r="B1139" s="20"/>
      <c r="C1139" s="20"/>
      <c r="D1139" s="19"/>
      <c r="E1139" s="19"/>
      <c r="F1139" s="19"/>
      <c r="G1139" s="19"/>
    </row>
    <row r="1140">
      <c r="B1140" s="20"/>
      <c r="C1140" s="20"/>
      <c r="D1140" s="19"/>
      <c r="E1140" s="19"/>
      <c r="F1140" s="19"/>
      <c r="G1140" s="19"/>
    </row>
    <row r="1141">
      <c r="B1141" s="20"/>
      <c r="C1141" s="20"/>
      <c r="D1141" s="19"/>
      <c r="E1141" s="19"/>
      <c r="F1141" s="19"/>
      <c r="G1141" s="19"/>
    </row>
    <row r="1142">
      <c r="B1142" s="20"/>
      <c r="C1142" s="20"/>
      <c r="D1142" s="19"/>
      <c r="E1142" s="19"/>
      <c r="F1142" s="19"/>
      <c r="G1142" s="19"/>
    </row>
    <row r="1143">
      <c r="B1143" s="20"/>
      <c r="C1143" s="20"/>
      <c r="D1143" s="19"/>
      <c r="E1143" s="19"/>
      <c r="F1143" s="19"/>
      <c r="G1143" s="19"/>
    </row>
    <row r="1144">
      <c r="B1144" s="20"/>
      <c r="C1144" s="20"/>
      <c r="D1144" s="19"/>
      <c r="E1144" s="19"/>
      <c r="F1144" s="19"/>
      <c r="G1144" s="19"/>
    </row>
    <row r="1145">
      <c r="B1145" s="20"/>
      <c r="C1145" s="20"/>
      <c r="D1145" s="19"/>
      <c r="E1145" s="19"/>
      <c r="F1145" s="19"/>
      <c r="G1145" s="19"/>
    </row>
    <row r="1146">
      <c r="B1146" s="20"/>
      <c r="C1146" s="20"/>
      <c r="D1146" s="19"/>
      <c r="E1146" s="19"/>
      <c r="F1146" s="19"/>
      <c r="G1146" s="19"/>
    </row>
    <row r="1147">
      <c r="B1147" s="20"/>
      <c r="C1147" s="20"/>
      <c r="D1147" s="19"/>
      <c r="E1147" s="19"/>
      <c r="F1147" s="19"/>
      <c r="G1147" s="19"/>
    </row>
    <row r="1148">
      <c r="B1148" s="20"/>
      <c r="C1148" s="20"/>
      <c r="D1148" s="19"/>
      <c r="E1148" s="19"/>
      <c r="F1148" s="19"/>
      <c r="G1148" s="19"/>
    </row>
    <row r="1149">
      <c r="B1149" s="20"/>
      <c r="C1149" s="20"/>
      <c r="D1149" s="19"/>
      <c r="E1149" s="19"/>
      <c r="F1149" s="19"/>
      <c r="G1149" s="19"/>
    </row>
    <row r="1150">
      <c r="B1150" s="20"/>
      <c r="C1150" s="20"/>
      <c r="D1150" s="19"/>
      <c r="E1150" s="19"/>
      <c r="F1150" s="19"/>
      <c r="G1150" s="19"/>
    </row>
    <row r="1151">
      <c r="B1151" s="20"/>
      <c r="C1151" s="20"/>
      <c r="D1151" s="19"/>
      <c r="E1151" s="19"/>
      <c r="F1151" s="19"/>
      <c r="G1151" s="19"/>
    </row>
    <row r="1152">
      <c r="B1152" s="20"/>
      <c r="C1152" s="20"/>
      <c r="D1152" s="19"/>
      <c r="E1152" s="19"/>
      <c r="F1152" s="19"/>
      <c r="G1152" s="19"/>
    </row>
    <row r="1153">
      <c r="B1153" s="20"/>
      <c r="C1153" s="20"/>
      <c r="D1153" s="19"/>
      <c r="E1153" s="19"/>
      <c r="F1153" s="19"/>
      <c r="G1153" s="19"/>
    </row>
    <row r="1154">
      <c r="B1154" s="20"/>
      <c r="C1154" s="20"/>
      <c r="D1154" s="19"/>
      <c r="E1154" s="19"/>
      <c r="F1154" s="19"/>
      <c r="G1154" s="19"/>
    </row>
    <row r="1155">
      <c r="B1155" s="20"/>
      <c r="C1155" s="20"/>
      <c r="D1155" s="19"/>
      <c r="E1155" s="19"/>
      <c r="F1155" s="19"/>
      <c r="G1155" s="19"/>
    </row>
    <row r="1156">
      <c r="B1156" s="20"/>
      <c r="C1156" s="20"/>
      <c r="D1156" s="19"/>
      <c r="E1156" s="19"/>
      <c r="F1156" s="19"/>
      <c r="G1156" s="19"/>
    </row>
    <row r="1157">
      <c r="B1157" s="20"/>
      <c r="C1157" s="20"/>
      <c r="D1157" s="19"/>
      <c r="E1157" s="19"/>
      <c r="F1157" s="19"/>
      <c r="G1157" s="19"/>
    </row>
    <row r="1158">
      <c r="B1158" s="20"/>
      <c r="C1158" s="20"/>
      <c r="D1158" s="19"/>
      <c r="E1158" s="19"/>
      <c r="F1158" s="19"/>
      <c r="G1158" s="19"/>
    </row>
    <row r="1159">
      <c r="B1159" s="20"/>
      <c r="C1159" s="20"/>
      <c r="D1159" s="19"/>
      <c r="E1159" s="19"/>
      <c r="F1159" s="19"/>
      <c r="G1159" s="19"/>
    </row>
    <row r="1160">
      <c r="B1160" s="20"/>
      <c r="C1160" s="20"/>
      <c r="D1160" s="19"/>
      <c r="E1160" s="19"/>
      <c r="F1160" s="19"/>
      <c r="G1160" s="19"/>
    </row>
    <row r="1161">
      <c r="B1161" s="20"/>
      <c r="C1161" s="20"/>
      <c r="D1161" s="19"/>
      <c r="E1161" s="19"/>
      <c r="F1161" s="19"/>
      <c r="G1161" s="19"/>
    </row>
    <row r="1162">
      <c r="B1162" s="20"/>
      <c r="C1162" s="20"/>
      <c r="D1162" s="19"/>
      <c r="E1162" s="19"/>
      <c r="F1162" s="19"/>
      <c r="G1162" s="19"/>
    </row>
    <row r="1163">
      <c r="B1163" s="20"/>
      <c r="C1163" s="20"/>
      <c r="D1163" s="19"/>
      <c r="E1163" s="19"/>
      <c r="F1163" s="19"/>
      <c r="G1163" s="19"/>
    </row>
    <row r="1164">
      <c r="B1164" s="20"/>
      <c r="C1164" s="20"/>
      <c r="D1164" s="19"/>
      <c r="E1164" s="19"/>
      <c r="F1164" s="19"/>
      <c r="G1164" s="19"/>
    </row>
    <row r="1165">
      <c r="B1165" s="20"/>
      <c r="C1165" s="20"/>
      <c r="D1165" s="19"/>
      <c r="E1165" s="19"/>
      <c r="F1165" s="19"/>
      <c r="G1165" s="19"/>
    </row>
    <row r="1166">
      <c r="B1166" s="20"/>
      <c r="C1166" s="20"/>
      <c r="D1166" s="19"/>
      <c r="E1166" s="19"/>
      <c r="F1166" s="19"/>
      <c r="G1166" s="19"/>
    </row>
    <row r="1167">
      <c r="B1167" s="20"/>
      <c r="C1167" s="20"/>
      <c r="D1167" s="19"/>
      <c r="E1167" s="19"/>
      <c r="F1167" s="19"/>
      <c r="G1167" s="19"/>
    </row>
    <row r="1168">
      <c r="B1168" s="20"/>
      <c r="C1168" s="20"/>
      <c r="D1168" s="19"/>
      <c r="E1168" s="19"/>
      <c r="F1168" s="19"/>
      <c r="G1168" s="19"/>
    </row>
    <row r="1169">
      <c r="B1169" s="20"/>
      <c r="C1169" s="20"/>
      <c r="D1169" s="19"/>
      <c r="E1169" s="19"/>
      <c r="F1169" s="19"/>
      <c r="G1169" s="19"/>
    </row>
    <row r="1170">
      <c r="B1170" s="20"/>
      <c r="C1170" s="20"/>
      <c r="D1170" s="19"/>
      <c r="E1170" s="19"/>
      <c r="F1170" s="19"/>
      <c r="G1170" s="19"/>
    </row>
    <row r="1171">
      <c r="B1171" s="20"/>
      <c r="C1171" s="20"/>
      <c r="D1171" s="19"/>
      <c r="E1171" s="19"/>
      <c r="F1171" s="19"/>
      <c r="G1171" s="19"/>
    </row>
    <row r="1172">
      <c r="B1172" s="20"/>
      <c r="C1172" s="20"/>
      <c r="D1172" s="19"/>
      <c r="E1172" s="19"/>
      <c r="F1172" s="19"/>
      <c r="G1172" s="19"/>
    </row>
    <row r="1173">
      <c r="B1173" s="20"/>
      <c r="C1173" s="20"/>
      <c r="D1173" s="19"/>
      <c r="E1173" s="19"/>
      <c r="F1173" s="19"/>
      <c r="G1173" s="19"/>
    </row>
    <row r="1174">
      <c r="B1174" s="20"/>
      <c r="C1174" s="20"/>
      <c r="D1174" s="19"/>
      <c r="E1174" s="19"/>
      <c r="F1174" s="19"/>
      <c r="G1174" s="19"/>
    </row>
    <row r="1175">
      <c r="B1175" s="20"/>
      <c r="C1175" s="20"/>
      <c r="D1175" s="19"/>
      <c r="E1175" s="19"/>
      <c r="F1175" s="19"/>
      <c r="G1175" s="19"/>
    </row>
    <row r="1176">
      <c r="B1176" s="20"/>
      <c r="C1176" s="20"/>
      <c r="D1176" s="19"/>
      <c r="E1176" s="19"/>
      <c r="F1176" s="19"/>
      <c r="G1176" s="19"/>
    </row>
    <row r="1177">
      <c r="B1177" s="20"/>
      <c r="C1177" s="20"/>
      <c r="D1177" s="19"/>
      <c r="E1177" s="19"/>
      <c r="F1177" s="19"/>
      <c r="G1177" s="19"/>
    </row>
    <row r="1178">
      <c r="B1178" s="20"/>
      <c r="C1178" s="20"/>
      <c r="D1178" s="19"/>
      <c r="E1178" s="19"/>
      <c r="F1178" s="19"/>
      <c r="G1178" s="19"/>
    </row>
    <row r="1179">
      <c r="B1179" s="20"/>
      <c r="C1179" s="20"/>
      <c r="D1179" s="19"/>
      <c r="E1179" s="19"/>
      <c r="F1179" s="19"/>
      <c r="G1179" s="19"/>
    </row>
    <row r="1180">
      <c r="B1180" s="20"/>
      <c r="C1180" s="20"/>
      <c r="D1180" s="19"/>
      <c r="E1180" s="19"/>
      <c r="F1180" s="19"/>
      <c r="G1180" s="19"/>
    </row>
    <row r="1181">
      <c r="B1181" s="20"/>
      <c r="C1181" s="20"/>
      <c r="D1181" s="19"/>
      <c r="E1181" s="19"/>
      <c r="F1181" s="19"/>
      <c r="G1181" s="19"/>
    </row>
    <row r="1182">
      <c r="B1182" s="20"/>
      <c r="C1182" s="20"/>
      <c r="D1182" s="19"/>
      <c r="E1182" s="19"/>
      <c r="F1182" s="19"/>
      <c r="G1182" s="19"/>
    </row>
    <row r="1183">
      <c r="B1183" s="20"/>
      <c r="C1183" s="20"/>
      <c r="D1183" s="19"/>
      <c r="E1183" s="19"/>
      <c r="F1183" s="19"/>
      <c r="G1183" s="19"/>
    </row>
    <row r="1184">
      <c r="B1184" s="20"/>
      <c r="C1184" s="20"/>
      <c r="D1184" s="19"/>
      <c r="E1184" s="19"/>
      <c r="F1184" s="19"/>
      <c r="G1184" s="19"/>
    </row>
    <row r="1185">
      <c r="B1185" s="20"/>
      <c r="C1185" s="20"/>
      <c r="D1185" s="19"/>
      <c r="E1185" s="19"/>
      <c r="F1185" s="19"/>
      <c r="G1185" s="19"/>
    </row>
    <row r="1186">
      <c r="B1186" s="20"/>
      <c r="C1186" s="20"/>
      <c r="D1186" s="19"/>
      <c r="E1186" s="19"/>
      <c r="F1186" s="19"/>
      <c r="G1186" s="19"/>
    </row>
    <row r="1187">
      <c r="B1187" s="20"/>
      <c r="C1187" s="20"/>
      <c r="D1187" s="19"/>
      <c r="E1187" s="19"/>
      <c r="F1187" s="19"/>
      <c r="G1187" s="19"/>
    </row>
    <row r="1188">
      <c r="B1188" s="20"/>
      <c r="C1188" s="20"/>
      <c r="D1188" s="19"/>
      <c r="E1188" s="19"/>
      <c r="F1188" s="19"/>
      <c r="G1188" s="19"/>
    </row>
    <row r="1189">
      <c r="B1189" s="20"/>
      <c r="C1189" s="20"/>
      <c r="D1189" s="19"/>
      <c r="E1189" s="19"/>
      <c r="F1189" s="19"/>
      <c r="G1189" s="19"/>
    </row>
    <row r="1190">
      <c r="B1190" s="20"/>
      <c r="C1190" s="20"/>
      <c r="D1190" s="19"/>
      <c r="E1190" s="19"/>
      <c r="F1190" s="19"/>
      <c r="G1190" s="19"/>
    </row>
    <row r="1191">
      <c r="B1191" s="20"/>
      <c r="C1191" s="20"/>
      <c r="D1191" s="19"/>
      <c r="E1191" s="19"/>
      <c r="F1191" s="19"/>
      <c r="G1191" s="19"/>
    </row>
    <row r="1192">
      <c r="B1192" s="20"/>
      <c r="C1192" s="20"/>
      <c r="D1192" s="19"/>
      <c r="E1192" s="19"/>
      <c r="F1192" s="19"/>
      <c r="G1192" s="19"/>
    </row>
    <row r="1193">
      <c r="B1193" s="20"/>
      <c r="C1193" s="20"/>
      <c r="D1193" s="19"/>
      <c r="E1193" s="19"/>
      <c r="F1193" s="19"/>
      <c r="G1193" s="19"/>
    </row>
    <row r="1194">
      <c r="B1194" s="20"/>
      <c r="C1194" s="20"/>
      <c r="D1194" s="19"/>
      <c r="E1194" s="19"/>
      <c r="F1194" s="19"/>
      <c r="G1194" s="19"/>
    </row>
    <row r="1195">
      <c r="B1195" s="20"/>
      <c r="C1195" s="20"/>
      <c r="D1195" s="19"/>
      <c r="E1195" s="19"/>
      <c r="F1195" s="19"/>
      <c r="G1195" s="19"/>
    </row>
    <row r="1196">
      <c r="B1196" s="20"/>
      <c r="C1196" s="20"/>
      <c r="D1196" s="19"/>
      <c r="E1196" s="19"/>
      <c r="F1196" s="19"/>
      <c r="G1196" s="19"/>
    </row>
    <row r="1197">
      <c r="B1197" s="20"/>
      <c r="C1197" s="20"/>
      <c r="D1197" s="19"/>
      <c r="E1197" s="19"/>
      <c r="F1197" s="19"/>
      <c r="G1197" s="19"/>
    </row>
    <row r="1198">
      <c r="B1198" s="20"/>
      <c r="C1198" s="20"/>
      <c r="D1198" s="19"/>
      <c r="E1198" s="19"/>
      <c r="F1198" s="19"/>
      <c r="G1198" s="19"/>
    </row>
    <row r="1199">
      <c r="B1199" s="20"/>
      <c r="C1199" s="20"/>
      <c r="D1199" s="19"/>
      <c r="E1199" s="19"/>
      <c r="F1199" s="19"/>
      <c r="G1199" s="19"/>
    </row>
    <row r="1200">
      <c r="B1200" s="20"/>
      <c r="C1200" s="20"/>
      <c r="D1200" s="19"/>
      <c r="E1200" s="19"/>
      <c r="F1200" s="19"/>
      <c r="G1200" s="19"/>
    </row>
    <row r="1201">
      <c r="B1201" s="20"/>
      <c r="C1201" s="20"/>
      <c r="D1201" s="19"/>
      <c r="E1201" s="19"/>
      <c r="F1201" s="19"/>
      <c r="G1201" s="19"/>
    </row>
    <row r="1202">
      <c r="B1202" s="20"/>
      <c r="C1202" s="20"/>
      <c r="D1202" s="19"/>
      <c r="E1202" s="19"/>
      <c r="F1202" s="19"/>
      <c r="G1202" s="19"/>
    </row>
    <row r="1203">
      <c r="B1203" s="20"/>
      <c r="C1203" s="20"/>
      <c r="D1203" s="19"/>
      <c r="E1203" s="19"/>
      <c r="F1203" s="19"/>
      <c r="G1203" s="19"/>
    </row>
    <row r="1204">
      <c r="B1204" s="20"/>
      <c r="C1204" s="20"/>
      <c r="D1204" s="19"/>
      <c r="E1204" s="19"/>
      <c r="F1204" s="19"/>
      <c r="G1204" s="19"/>
    </row>
    <row r="1205">
      <c r="B1205" s="20"/>
      <c r="C1205" s="20"/>
      <c r="D1205" s="19"/>
      <c r="E1205" s="19"/>
      <c r="F1205" s="19"/>
      <c r="G1205" s="19"/>
    </row>
    <row r="1206">
      <c r="B1206" s="20"/>
      <c r="C1206" s="20"/>
      <c r="D1206" s="19"/>
      <c r="E1206" s="19"/>
      <c r="F1206" s="19"/>
      <c r="G1206" s="19"/>
    </row>
    <row r="1207">
      <c r="B1207" s="20"/>
      <c r="C1207" s="20"/>
      <c r="D1207" s="19"/>
      <c r="E1207" s="19"/>
      <c r="F1207" s="19"/>
      <c r="G1207" s="19"/>
    </row>
    <row r="1208">
      <c r="B1208" s="20"/>
      <c r="C1208" s="20"/>
      <c r="D1208" s="19"/>
      <c r="E1208" s="19"/>
      <c r="F1208" s="19"/>
      <c r="G1208" s="19"/>
    </row>
    <row r="1209">
      <c r="B1209" s="20"/>
      <c r="C1209" s="20"/>
      <c r="D1209" s="19"/>
      <c r="E1209" s="19"/>
      <c r="F1209" s="19"/>
      <c r="G1209" s="19"/>
    </row>
    <row r="1210">
      <c r="B1210" s="20"/>
      <c r="C1210" s="20"/>
      <c r="D1210" s="19"/>
      <c r="E1210" s="19"/>
      <c r="F1210" s="19"/>
      <c r="G1210" s="19"/>
    </row>
    <row r="1211">
      <c r="B1211" s="20"/>
      <c r="C1211" s="20"/>
      <c r="D1211" s="19"/>
      <c r="E1211" s="19"/>
      <c r="F1211" s="19"/>
      <c r="G1211" s="19"/>
    </row>
    <row r="1212">
      <c r="B1212" s="20"/>
      <c r="C1212" s="20"/>
      <c r="D1212" s="19"/>
      <c r="E1212" s="19"/>
      <c r="F1212" s="19"/>
      <c r="G1212" s="19"/>
    </row>
    <row r="1213">
      <c r="B1213" s="20"/>
      <c r="C1213" s="20"/>
      <c r="D1213" s="19"/>
      <c r="E1213" s="19"/>
      <c r="F1213" s="19"/>
      <c r="G1213" s="19"/>
    </row>
    <row r="1214">
      <c r="B1214" s="20"/>
      <c r="C1214" s="20"/>
      <c r="D1214" s="19"/>
      <c r="E1214" s="19"/>
      <c r="F1214" s="19"/>
      <c r="G1214" s="19"/>
    </row>
    <row r="1215">
      <c r="B1215" s="20"/>
      <c r="C1215" s="20"/>
      <c r="D1215" s="19"/>
      <c r="E1215" s="19"/>
      <c r="F1215" s="19"/>
      <c r="G1215" s="19"/>
    </row>
    <row r="1216">
      <c r="B1216" s="20"/>
      <c r="C1216" s="20"/>
      <c r="D1216" s="19"/>
      <c r="E1216" s="19"/>
      <c r="F1216" s="19"/>
      <c r="G1216" s="19"/>
    </row>
    <row r="1217">
      <c r="B1217" s="20"/>
      <c r="C1217" s="20"/>
      <c r="D1217" s="19"/>
      <c r="E1217" s="19"/>
      <c r="F1217" s="19"/>
      <c r="G1217" s="19"/>
    </row>
    <row r="1218">
      <c r="B1218" s="20"/>
      <c r="C1218" s="20"/>
      <c r="D1218" s="19"/>
      <c r="E1218" s="19"/>
      <c r="F1218" s="19"/>
      <c r="G1218" s="19"/>
    </row>
    <row r="1219">
      <c r="B1219" s="20"/>
      <c r="C1219" s="20"/>
      <c r="D1219" s="19"/>
      <c r="E1219" s="19"/>
      <c r="F1219" s="19"/>
      <c r="G1219" s="19"/>
    </row>
    <row r="1220">
      <c r="B1220" s="20"/>
      <c r="C1220" s="20"/>
      <c r="D1220" s="19"/>
      <c r="E1220" s="19"/>
      <c r="F1220" s="19"/>
      <c r="G1220" s="19"/>
    </row>
    <row r="1221">
      <c r="B1221" s="20"/>
      <c r="C1221" s="20"/>
      <c r="D1221" s="19"/>
      <c r="E1221" s="19"/>
      <c r="F1221" s="19"/>
      <c r="G1221" s="19"/>
    </row>
    <row r="1222">
      <c r="B1222" s="20"/>
      <c r="C1222" s="20"/>
      <c r="D1222" s="19"/>
      <c r="E1222" s="19"/>
      <c r="F1222" s="19"/>
      <c r="G1222" s="19"/>
    </row>
    <row r="1223">
      <c r="B1223" s="20"/>
      <c r="C1223" s="20"/>
      <c r="D1223" s="19"/>
      <c r="E1223" s="19"/>
      <c r="F1223" s="19"/>
      <c r="G1223" s="19"/>
    </row>
    <row r="1224">
      <c r="B1224" s="20"/>
      <c r="C1224" s="20"/>
      <c r="D1224" s="19"/>
      <c r="E1224" s="19"/>
      <c r="F1224" s="19"/>
      <c r="G1224" s="19"/>
    </row>
    <row r="1225">
      <c r="B1225" s="20"/>
      <c r="C1225" s="20"/>
      <c r="D1225" s="19"/>
      <c r="E1225" s="19"/>
      <c r="F1225" s="19"/>
      <c r="G1225" s="19"/>
    </row>
    <row r="1226">
      <c r="B1226" s="20"/>
      <c r="C1226" s="20"/>
      <c r="D1226" s="19"/>
      <c r="E1226" s="19"/>
      <c r="F1226" s="19"/>
      <c r="G1226" s="19"/>
    </row>
    <row r="1227">
      <c r="B1227" s="20"/>
      <c r="C1227" s="20"/>
      <c r="D1227" s="19"/>
      <c r="E1227" s="19"/>
      <c r="F1227" s="19"/>
      <c r="G1227" s="19"/>
    </row>
    <row r="1228">
      <c r="B1228" s="20"/>
      <c r="C1228" s="20"/>
      <c r="D1228" s="19"/>
      <c r="E1228" s="19"/>
      <c r="F1228" s="19"/>
      <c r="G1228" s="19"/>
    </row>
    <row r="1229">
      <c r="B1229" s="20"/>
      <c r="C1229" s="20"/>
      <c r="D1229" s="19"/>
      <c r="E1229" s="19"/>
      <c r="F1229" s="19"/>
      <c r="G1229" s="19"/>
    </row>
    <row r="1230">
      <c r="B1230" s="20"/>
      <c r="C1230" s="20"/>
      <c r="D1230" s="19"/>
      <c r="E1230" s="19"/>
      <c r="F1230" s="19"/>
      <c r="G1230" s="19"/>
    </row>
    <row r="1231">
      <c r="B1231" s="20"/>
      <c r="C1231" s="20"/>
      <c r="D1231" s="19"/>
      <c r="E1231" s="19"/>
      <c r="F1231" s="19"/>
      <c r="G1231" s="19"/>
    </row>
    <row r="1232">
      <c r="B1232" s="20"/>
      <c r="C1232" s="20"/>
      <c r="D1232" s="19"/>
      <c r="E1232" s="19"/>
      <c r="F1232" s="19"/>
      <c r="G1232" s="19"/>
    </row>
    <row r="1233">
      <c r="B1233" s="20"/>
      <c r="C1233" s="20"/>
      <c r="D1233" s="19"/>
      <c r="E1233" s="19"/>
      <c r="F1233" s="19"/>
      <c r="G1233" s="19"/>
    </row>
    <row r="1234">
      <c r="B1234" s="20"/>
      <c r="C1234" s="20"/>
      <c r="D1234" s="19"/>
      <c r="E1234" s="19"/>
      <c r="F1234" s="19"/>
      <c r="G1234" s="19"/>
    </row>
    <row r="1235">
      <c r="B1235" s="20"/>
      <c r="C1235" s="20"/>
      <c r="D1235" s="19"/>
      <c r="E1235" s="19"/>
      <c r="F1235" s="19"/>
      <c r="G1235" s="19"/>
    </row>
    <row r="1236">
      <c r="B1236" s="20"/>
      <c r="C1236" s="20"/>
      <c r="D1236" s="19"/>
      <c r="E1236" s="19"/>
      <c r="F1236" s="19"/>
      <c r="G1236" s="19"/>
    </row>
    <row r="1237">
      <c r="B1237" s="20"/>
      <c r="C1237" s="20"/>
      <c r="D1237" s="19"/>
      <c r="E1237" s="19"/>
      <c r="F1237" s="19"/>
      <c r="G1237" s="19"/>
    </row>
    <row r="1238">
      <c r="B1238" s="20"/>
      <c r="C1238" s="20"/>
      <c r="D1238" s="19"/>
      <c r="E1238" s="19"/>
      <c r="F1238" s="19"/>
      <c r="G1238" s="19"/>
    </row>
    <row r="1239">
      <c r="B1239" s="20"/>
      <c r="C1239" s="20"/>
      <c r="D1239" s="19"/>
      <c r="E1239" s="19"/>
      <c r="F1239" s="19"/>
      <c r="G1239" s="19"/>
    </row>
    <row r="1240">
      <c r="B1240" s="20"/>
      <c r="C1240" s="20"/>
      <c r="D1240" s="19"/>
      <c r="E1240" s="19"/>
      <c r="F1240" s="19"/>
      <c r="G1240" s="19"/>
    </row>
    <row r="1241">
      <c r="B1241" s="20"/>
      <c r="C1241" s="20"/>
      <c r="D1241" s="19"/>
      <c r="E1241" s="19"/>
      <c r="F1241" s="19"/>
      <c r="G1241" s="19"/>
    </row>
    <row r="1242">
      <c r="B1242" s="20"/>
      <c r="C1242" s="20"/>
      <c r="D1242" s="19"/>
      <c r="E1242" s="19"/>
      <c r="F1242" s="19"/>
      <c r="G1242" s="19"/>
    </row>
    <row r="1243">
      <c r="B1243" s="20"/>
      <c r="C1243" s="20"/>
      <c r="D1243" s="19"/>
      <c r="E1243" s="19"/>
      <c r="F1243" s="19"/>
      <c r="G1243" s="19"/>
    </row>
    <row r="1244">
      <c r="B1244" s="20"/>
      <c r="C1244" s="20"/>
      <c r="D1244" s="19"/>
      <c r="E1244" s="19"/>
      <c r="F1244" s="19"/>
      <c r="G1244" s="19"/>
    </row>
    <row r="1245">
      <c r="B1245" s="20"/>
      <c r="C1245" s="20"/>
      <c r="D1245" s="19"/>
      <c r="E1245" s="19"/>
      <c r="F1245" s="19"/>
      <c r="G1245" s="19"/>
    </row>
    <row r="1246">
      <c r="B1246" s="20"/>
      <c r="C1246" s="20"/>
      <c r="D1246" s="19"/>
      <c r="E1246" s="19"/>
      <c r="F1246" s="19"/>
      <c r="G1246" s="19"/>
    </row>
    <row r="1247">
      <c r="B1247" s="20"/>
      <c r="C1247" s="20"/>
      <c r="D1247" s="19"/>
      <c r="E1247" s="19"/>
      <c r="F1247" s="19"/>
      <c r="G1247" s="19"/>
    </row>
    <row r="1248">
      <c r="B1248" s="20"/>
      <c r="C1248" s="20"/>
      <c r="D1248" s="19"/>
      <c r="E1248" s="19"/>
      <c r="F1248" s="19"/>
      <c r="G1248" s="19"/>
    </row>
    <row r="1249">
      <c r="B1249" s="20"/>
      <c r="C1249" s="20"/>
      <c r="D1249" s="19"/>
      <c r="E1249" s="19"/>
      <c r="F1249" s="19"/>
      <c r="G1249" s="19"/>
    </row>
    <row r="1250">
      <c r="B1250" s="20"/>
      <c r="C1250" s="20"/>
      <c r="D1250" s="19"/>
      <c r="E1250" s="19"/>
      <c r="F1250" s="19"/>
      <c r="G1250" s="19"/>
    </row>
    <row r="1251">
      <c r="B1251" s="20"/>
      <c r="C1251" s="20"/>
      <c r="D1251" s="19"/>
      <c r="E1251" s="19"/>
      <c r="F1251" s="19"/>
      <c r="G1251" s="19"/>
    </row>
    <row r="1252">
      <c r="B1252" s="20"/>
      <c r="C1252" s="20"/>
      <c r="D1252" s="19"/>
      <c r="E1252" s="19"/>
      <c r="F1252" s="19"/>
      <c r="G1252" s="19"/>
    </row>
    <row r="1253">
      <c r="B1253" s="20"/>
      <c r="C1253" s="20"/>
      <c r="D1253" s="19"/>
      <c r="E1253" s="19"/>
      <c r="F1253" s="19"/>
      <c r="G1253" s="19"/>
    </row>
    <row r="1254">
      <c r="B1254" s="20"/>
      <c r="C1254" s="20"/>
      <c r="D1254" s="19"/>
      <c r="E1254" s="19"/>
      <c r="F1254" s="19"/>
      <c r="G1254" s="19"/>
    </row>
    <row r="1255">
      <c r="B1255" s="20"/>
      <c r="C1255" s="20"/>
      <c r="D1255" s="19"/>
      <c r="E1255" s="19"/>
      <c r="F1255" s="19"/>
      <c r="G1255" s="19"/>
    </row>
    <row r="1256">
      <c r="B1256" s="20"/>
      <c r="C1256" s="20"/>
      <c r="D1256" s="19"/>
      <c r="E1256" s="19"/>
      <c r="F1256" s="19"/>
      <c r="G1256" s="19"/>
    </row>
    <row r="1257">
      <c r="B1257" s="20"/>
      <c r="C1257" s="20"/>
      <c r="D1257" s="19"/>
      <c r="E1257" s="19"/>
      <c r="F1257" s="19"/>
      <c r="G1257" s="19"/>
    </row>
    <row r="1258">
      <c r="B1258" s="20"/>
      <c r="C1258" s="20"/>
      <c r="D1258" s="19"/>
      <c r="E1258" s="19"/>
      <c r="F1258" s="19"/>
      <c r="G1258" s="19"/>
    </row>
    <row r="1259">
      <c r="B1259" s="20"/>
      <c r="C1259" s="20"/>
      <c r="D1259" s="19"/>
      <c r="E1259" s="19"/>
      <c r="F1259" s="19"/>
      <c r="G1259" s="19"/>
    </row>
    <row r="1260">
      <c r="B1260" s="20"/>
      <c r="C1260" s="20"/>
      <c r="D1260" s="19"/>
      <c r="E1260" s="19"/>
      <c r="F1260" s="19"/>
      <c r="G1260" s="19"/>
    </row>
    <row r="1261">
      <c r="B1261" s="20"/>
      <c r="C1261" s="20"/>
      <c r="D1261" s="19"/>
      <c r="E1261" s="19"/>
      <c r="F1261" s="19"/>
      <c r="G1261" s="19"/>
    </row>
    <row r="1262">
      <c r="B1262" s="20"/>
      <c r="C1262" s="20"/>
      <c r="D1262" s="19"/>
      <c r="E1262" s="19"/>
      <c r="F1262" s="19"/>
      <c r="G1262" s="19"/>
    </row>
    <row r="1263">
      <c r="B1263" s="20"/>
      <c r="C1263" s="20"/>
      <c r="D1263" s="19"/>
      <c r="E1263" s="19"/>
      <c r="F1263" s="19"/>
      <c r="G1263" s="19"/>
    </row>
    <row r="1264">
      <c r="B1264" s="20"/>
      <c r="C1264" s="20"/>
      <c r="D1264" s="19"/>
      <c r="E1264" s="19"/>
      <c r="F1264" s="19"/>
      <c r="G1264" s="19"/>
    </row>
    <row r="1265">
      <c r="B1265" s="20"/>
      <c r="C1265" s="20"/>
      <c r="D1265" s="19"/>
      <c r="E1265" s="19"/>
      <c r="F1265" s="19"/>
      <c r="G1265" s="19"/>
    </row>
    <row r="1266">
      <c r="B1266" s="20"/>
      <c r="C1266" s="20"/>
      <c r="D1266" s="19"/>
      <c r="E1266" s="19"/>
      <c r="F1266" s="19"/>
      <c r="G1266" s="19"/>
    </row>
    <row r="1267">
      <c r="B1267" s="20"/>
      <c r="C1267" s="20"/>
      <c r="D1267" s="19"/>
      <c r="E1267" s="19"/>
      <c r="F1267" s="19"/>
      <c r="G1267" s="19"/>
    </row>
    <row r="1268">
      <c r="B1268" s="20"/>
      <c r="C1268" s="20"/>
      <c r="D1268" s="19"/>
      <c r="E1268" s="19"/>
      <c r="F1268" s="19"/>
      <c r="G1268" s="19"/>
    </row>
    <row r="1269">
      <c r="B1269" s="20"/>
      <c r="C1269" s="20"/>
      <c r="D1269" s="19"/>
      <c r="E1269" s="19"/>
      <c r="F1269" s="19"/>
      <c r="G1269" s="19"/>
    </row>
    <row r="1270">
      <c r="B1270" s="20"/>
      <c r="C1270" s="20"/>
      <c r="D1270" s="19"/>
      <c r="E1270" s="19"/>
      <c r="F1270" s="19"/>
      <c r="G1270" s="19"/>
    </row>
    <row r="1271">
      <c r="B1271" s="20"/>
      <c r="C1271" s="20"/>
      <c r="D1271" s="19"/>
      <c r="E1271" s="19"/>
      <c r="F1271" s="19"/>
      <c r="G1271" s="19"/>
    </row>
    <row r="1272">
      <c r="B1272" s="20"/>
      <c r="C1272" s="20"/>
      <c r="D1272" s="19"/>
      <c r="E1272" s="19"/>
      <c r="F1272" s="19"/>
      <c r="G1272" s="19"/>
    </row>
    <row r="1273">
      <c r="B1273" s="20"/>
      <c r="C1273" s="20"/>
      <c r="D1273" s="19"/>
      <c r="E1273" s="19"/>
      <c r="F1273" s="19"/>
      <c r="G1273" s="19"/>
    </row>
    <row r="1274">
      <c r="B1274" s="20"/>
      <c r="C1274" s="20"/>
      <c r="D1274" s="19"/>
      <c r="E1274" s="19"/>
      <c r="F1274" s="19"/>
      <c r="G1274" s="19"/>
    </row>
    <row r="1275">
      <c r="B1275" s="20"/>
      <c r="C1275" s="20"/>
      <c r="D1275" s="19"/>
      <c r="E1275" s="19"/>
      <c r="F1275" s="19"/>
      <c r="G1275" s="19"/>
    </row>
    <row r="1276">
      <c r="B1276" s="20"/>
      <c r="C1276" s="20"/>
      <c r="D1276" s="19"/>
      <c r="E1276" s="19"/>
      <c r="F1276" s="19"/>
      <c r="G1276" s="19"/>
    </row>
    <row r="1277">
      <c r="B1277" s="20"/>
      <c r="C1277" s="20"/>
      <c r="D1277" s="19"/>
      <c r="E1277" s="19"/>
      <c r="F1277" s="19"/>
      <c r="G1277" s="19"/>
    </row>
    <row r="1278">
      <c r="B1278" s="20"/>
      <c r="C1278" s="20"/>
      <c r="D1278" s="19"/>
      <c r="E1278" s="19"/>
      <c r="F1278" s="19"/>
      <c r="G1278" s="19"/>
    </row>
    <row r="1279">
      <c r="B1279" s="20"/>
      <c r="C1279" s="20"/>
      <c r="D1279" s="19"/>
      <c r="E1279" s="19"/>
      <c r="F1279" s="19"/>
      <c r="G1279" s="19"/>
    </row>
    <row r="1280">
      <c r="B1280" s="20"/>
      <c r="C1280" s="20"/>
      <c r="D1280" s="19"/>
      <c r="E1280" s="19"/>
      <c r="F1280" s="19"/>
      <c r="G1280" s="19"/>
    </row>
    <row r="1281">
      <c r="B1281" s="20"/>
      <c r="C1281" s="20"/>
      <c r="D1281" s="19"/>
      <c r="E1281" s="19"/>
      <c r="F1281" s="19"/>
      <c r="G1281" s="19"/>
    </row>
    <row r="1282">
      <c r="B1282" s="20"/>
      <c r="C1282" s="20"/>
      <c r="D1282" s="19"/>
      <c r="E1282" s="19"/>
      <c r="F1282" s="19"/>
      <c r="G1282" s="19"/>
    </row>
    <row r="1283">
      <c r="B1283" s="20"/>
      <c r="C1283" s="20"/>
      <c r="D1283" s="19"/>
      <c r="E1283" s="19"/>
      <c r="F1283" s="19"/>
      <c r="G1283" s="19"/>
    </row>
    <row r="1284">
      <c r="B1284" s="20"/>
      <c r="C1284" s="20"/>
      <c r="D1284" s="19"/>
      <c r="E1284" s="19"/>
      <c r="F1284" s="19"/>
      <c r="G1284" s="19"/>
    </row>
    <row r="1285">
      <c r="B1285" s="20"/>
      <c r="C1285" s="20"/>
      <c r="D1285" s="19"/>
      <c r="E1285" s="19"/>
      <c r="F1285" s="19"/>
      <c r="G1285" s="19"/>
    </row>
    <row r="1286">
      <c r="B1286" s="20"/>
      <c r="C1286" s="20"/>
      <c r="D1286" s="19"/>
      <c r="E1286" s="19"/>
      <c r="F1286" s="19"/>
      <c r="G1286" s="19"/>
    </row>
    <row r="1287">
      <c r="B1287" s="20"/>
      <c r="C1287" s="20"/>
      <c r="D1287" s="19"/>
      <c r="E1287" s="19"/>
      <c r="F1287" s="19"/>
      <c r="G1287" s="19"/>
    </row>
    <row r="1288">
      <c r="B1288" s="20"/>
      <c r="C1288" s="20"/>
      <c r="D1288" s="19"/>
      <c r="E1288" s="19"/>
      <c r="F1288" s="19"/>
      <c r="G1288" s="19"/>
    </row>
    <row r="1289">
      <c r="B1289" s="20"/>
      <c r="C1289" s="20"/>
      <c r="D1289" s="19"/>
      <c r="E1289" s="19"/>
      <c r="F1289" s="19"/>
      <c r="G1289" s="19"/>
    </row>
    <row r="1290">
      <c r="B1290" s="20"/>
      <c r="C1290" s="20"/>
      <c r="D1290" s="19"/>
      <c r="E1290" s="19"/>
      <c r="F1290" s="19"/>
      <c r="G1290" s="19"/>
    </row>
    <row r="1291">
      <c r="B1291" s="20"/>
      <c r="C1291" s="20"/>
      <c r="D1291" s="19"/>
      <c r="E1291" s="19"/>
      <c r="F1291" s="19"/>
      <c r="G1291" s="19"/>
    </row>
    <row r="1292">
      <c r="B1292" s="20"/>
      <c r="C1292" s="20"/>
      <c r="D1292" s="19"/>
      <c r="E1292" s="19"/>
      <c r="F1292" s="19"/>
      <c r="G1292" s="19"/>
    </row>
    <row r="1293">
      <c r="B1293" s="20"/>
      <c r="C1293" s="20"/>
      <c r="D1293" s="19"/>
      <c r="E1293" s="19"/>
      <c r="F1293" s="19"/>
      <c r="G1293" s="19"/>
    </row>
    <row r="1294">
      <c r="B1294" s="20"/>
      <c r="C1294" s="20"/>
      <c r="D1294" s="19"/>
      <c r="E1294" s="19"/>
      <c r="F1294" s="19"/>
      <c r="G1294" s="19"/>
    </row>
    <row r="1295">
      <c r="B1295" s="20"/>
      <c r="C1295" s="20"/>
      <c r="D1295" s="19"/>
      <c r="E1295" s="19"/>
      <c r="F1295" s="19"/>
      <c r="G1295" s="19"/>
    </row>
    <row r="1296">
      <c r="B1296" s="20"/>
      <c r="C1296" s="20"/>
      <c r="D1296" s="19"/>
      <c r="E1296" s="19"/>
      <c r="F1296" s="19"/>
      <c r="G1296" s="19"/>
    </row>
    <row r="1297">
      <c r="B1297" s="20"/>
      <c r="C1297" s="20"/>
      <c r="D1297" s="19"/>
      <c r="E1297" s="19"/>
      <c r="F1297" s="19"/>
      <c r="G1297" s="19"/>
    </row>
    <row r="1298">
      <c r="B1298" s="20"/>
      <c r="C1298" s="20"/>
      <c r="D1298" s="19"/>
      <c r="E1298" s="19"/>
      <c r="F1298" s="19"/>
      <c r="G1298" s="19"/>
    </row>
    <row r="1299">
      <c r="B1299" s="20"/>
      <c r="C1299" s="20"/>
      <c r="D1299" s="19"/>
      <c r="E1299" s="19"/>
      <c r="F1299" s="19"/>
      <c r="G1299" s="19"/>
    </row>
    <row r="1300">
      <c r="B1300" s="20"/>
      <c r="C1300" s="20"/>
      <c r="D1300" s="19"/>
      <c r="E1300" s="19"/>
      <c r="F1300" s="19"/>
      <c r="G1300" s="19"/>
    </row>
    <row r="1301">
      <c r="B1301" s="20"/>
      <c r="C1301" s="20"/>
      <c r="D1301" s="19"/>
      <c r="E1301" s="19"/>
      <c r="F1301" s="19"/>
      <c r="G1301" s="19"/>
    </row>
    <row r="1302">
      <c r="B1302" s="20"/>
      <c r="C1302" s="20"/>
      <c r="D1302" s="19"/>
      <c r="E1302" s="19"/>
      <c r="F1302" s="19"/>
      <c r="G1302" s="19"/>
    </row>
    <row r="1303">
      <c r="B1303" s="20"/>
      <c r="C1303" s="20"/>
      <c r="D1303" s="19"/>
      <c r="E1303" s="19"/>
      <c r="F1303" s="19"/>
      <c r="G1303" s="19"/>
    </row>
    <row r="1304">
      <c r="B1304" s="20"/>
      <c r="C1304" s="20"/>
      <c r="D1304" s="19"/>
      <c r="E1304" s="19"/>
      <c r="F1304" s="19"/>
      <c r="G1304" s="19"/>
    </row>
    <row r="1305">
      <c r="B1305" s="20"/>
      <c r="C1305" s="20"/>
      <c r="D1305" s="19"/>
      <c r="E1305" s="19"/>
      <c r="F1305" s="19"/>
      <c r="G1305" s="19"/>
    </row>
    <row r="1306">
      <c r="B1306" s="20"/>
      <c r="C1306" s="20"/>
      <c r="D1306" s="19"/>
      <c r="E1306" s="19"/>
      <c r="F1306" s="19"/>
      <c r="G1306" s="19"/>
    </row>
    <row r="1307">
      <c r="B1307" s="20"/>
      <c r="C1307" s="20"/>
      <c r="D1307" s="19"/>
      <c r="E1307" s="19"/>
      <c r="F1307" s="19"/>
      <c r="G1307" s="19"/>
    </row>
    <row r="1308">
      <c r="B1308" s="20"/>
      <c r="C1308" s="20"/>
      <c r="D1308" s="19"/>
      <c r="E1308" s="19"/>
      <c r="F1308" s="19"/>
      <c r="G1308" s="19"/>
    </row>
    <row r="1309">
      <c r="B1309" s="20"/>
      <c r="C1309" s="20"/>
      <c r="D1309" s="19"/>
      <c r="E1309" s="19"/>
      <c r="F1309" s="19"/>
      <c r="G1309" s="19"/>
    </row>
    <row r="1310">
      <c r="B1310" s="20"/>
      <c r="C1310" s="20"/>
      <c r="D1310" s="19"/>
      <c r="E1310" s="19"/>
      <c r="F1310" s="19"/>
      <c r="G1310" s="19"/>
    </row>
    <row r="1311">
      <c r="B1311" s="20"/>
      <c r="C1311" s="20"/>
      <c r="D1311" s="19"/>
      <c r="E1311" s="19"/>
      <c r="F1311" s="19"/>
      <c r="G1311" s="19"/>
    </row>
    <row r="1312">
      <c r="B1312" s="20"/>
      <c r="C1312" s="20"/>
      <c r="D1312" s="19"/>
      <c r="E1312" s="19"/>
      <c r="F1312" s="19"/>
      <c r="G1312" s="19"/>
    </row>
    <row r="1313">
      <c r="B1313" s="20"/>
      <c r="C1313" s="20"/>
      <c r="D1313" s="19"/>
      <c r="E1313" s="19"/>
      <c r="F1313" s="19"/>
      <c r="G1313" s="19"/>
    </row>
    <row r="1314">
      <c r="B1314" s="20"/>
      <c r="C1314" s="20"/>
      <c r="D1314" s="19"/>
      <c r="E1314" s="19"/>
      <c r="F1314" s="19"/>
      <c r="G1314" s="19"/>
    </row>
    <row r="1315">
      <c r="B1315" s="20"/>
      <c r="C1315" s="20"/>
      <c r="D1315" s="19"/>
      <c r="E1315" s="19"/>
      <c r="F1315" s="19"/>
      <c r="G1315" s="19"/>
    </row>
    <row r="1316">
      <c r="B1316" s="20"/>
      <c r="C1316" s="20"/>
      <c r="D1316" s="19"/>
      <c r="E1316" s="19"/>
      <c r="F1316" s="19"/>
      <c r="G1316" s="19"/>
    </row>
    <row r="1317">
      <c r="B1317" s="20"/>
      <c r="C1317" s="20"/>
      <c r="D1317" s="19"/>
      <c r="E1317" s="19"/>
      <c r="F1317" s="19"/>
      <c r="G1317" s="19"/>
    </row>
    <row r="1318">
      <c r="B1318" s="20"/>
      <c r="C1318" s="20"/>
      <c r="D1318" s="19"/>
      <c r="E1318" s="19"/>
      <c r="F1318" s="19"/>
      <c r="G1318" s="19"/>
    </row>
    <row r="1319">
      <c r="B1319" s="20"/>
      <c r="C1319" s="20"/>
      <c r="D1319" s="19"/>
      <c r="E1319" s="19"/>
      <c r="F1319" s="19"/>
      <c r="G1319" s="19"/>
    </row>
    <row r="1320">
      <c r="B1320" s="20"/>
      <c r="C1320" s="20"/>
      <c r="D1320" s="19"/>
      <c r="E1320" s="19"/>
      <c r="F1320" s="19"/>
      <c r="G1320" s="19"/>
    </row>
    <row r="1321">
      <c r="B1321" s="20"/>
      <c r="C1321" s="20"/>
      <c r="D1321" s="19"/>
      <c r="E1321" s="19"/>
      <c r="F1321" s="19"/>
      <c r="G1321" s="19"/>
    </row>
    <row r="1322">
      <c r="B1322" s="20"/>
      <c r="C1322" s="20"/>
      <c r="D1322" s="19"/>
      <c r="E1322" s="19"/>
      <c r="F1322" s="19"/>
      <c r="G1322" s="19"/>
    </row>
    <row r="1323">
      <c r="B1323" s="20"/>
      <c r="C1323" s="20"/>
      <c r="D1323" s="19"/>
      <c r="E1323" s="19"/>
      <c r="F1323" s="19"/>
      <c r="G1323" s="19"/>
    </row>
    <row r="1324">
      <c r="B1324" s="20"/>
      <c r="C1324" s="20"/>
      <c r="D1324" s="19"/>
      <c r="E1324" s="19"/>
      <c r="F1324" s="19"/>
      <c r="G1324" s="19"/>
    </row>
    <row r="1325">
      <c r="B1325" s="20"/>
      <c r="C1325" s="20"/>
      <c r="D1325" s="19"/>
      <c r="E1325" s="19"/>
      <c r="F1325" s="19"/>
      <c r="G1325" s="19"/>
    </row>
    <row r="1326">
      <c r="B1326" s="20"/>
      <c r="C1326" s="20"/>
      <c r="D1326" s="19"/>
      <c r="E1326" s="19"/>
      <c r="F1326" s="19"/>
      <c r="G1326" s="19"/>
    </row>
    <row r="1327">
      <c r="B1327" s="20"/>
      <c r="C1327" s="20"/>
      <c r="D1327" s="19"/>
      <c r="E1327" s="19"/>
      <c r="F1327" s="19"/>
      <c r="G1327" s="19"/>
    </row>
    <row r="1328">
      <c r="B1328" s="20"/>
      <c r="C1328" s="20"/>
      <c r="D1328" s="19"/>
      <c r="E1328" s="19"/>
      <c r="F1328" s="19"/>
      <c r="G1328" s="19"/>
    </row>
    <row r="1329">
      <c r="B1329" s="20"/>
      <c r="C1329" s="20"/>
      <c r="D1329" s="19"/>
      <c r="E1329" s="19"/>
      <c r="F1329" s="19"/>
      <c r="G1329" s="19"/>
    </row>
    <row r="1330">
      <c r="B1330" s="20"/>
      <c r="C1330" s="20"/>
      <c r="D1330" s="19"/>
      <c r="E1330" s="19"/>
      <c r="F1330" s="19"/>
      <c r="G1330" s="19"/>
    </row>
    <row r="1331">
      <c r="B1331" s="20"/>
      <c r="C1331" s="20"/>
      <c r="D1331" s="19"/>
      <c r="E1331" s="19"/>
      <c r="F1331" s="19"/>
      <c r="G1331" s="19"/>
    </row>
    <row r="1332">
      <c r="B1332" s="20"/>
      <c r="C1332" s="20"/>
      <c r="D1332" s="19"/>
      <c r="E1332" s="19"/>
      <c r="F1332" s="19"/>
      <c r="G1332" s="19"/>
    </row>
    <row r="1333">
      <c r="B1333" s="20"/>
      <c r="C1333" s="20"/>
      <c r="D1333" s="19"/>
      <c r="E1333" s="19"/>
      <c r="F1333" s="19"/>
      <c r="G1333" s="19"/>
    </row>
    <row r="1334">
      <c r="B1334" s="20"/>
      <c r="C1334" s="20"/>
      <c r="D1334" s="19"/>
      <c r="E1334" s="19"/>
      <c r="F1334" s="19"/>
      <c r="G1334" s="19"/>
    </row>
    <row r="1335">
      <c r="B1335" s="20"/>
      <c r="C1335" s="20"/>
      <c r="D1335" s="19"/>
      <c r="E1335" s="19"/>
      <c r="F1335" s="19"/>
      <c r="G1335" s="19"/>
    </row>
    <row r="1336">
      <c r="B1336" s="20"/>
      <c r="C1336" s="20"/>
      <c r="D1336" s="19"/>
      <c r="E1336" s="19"/>
      <c r="F1336" s="19"/>
      <c r="G1336" s="19"/>
    </row>
    <row r="1337">
      <c r="B1337" s="20"/>
      <c r="C1337" s="20"/>
      <c r="D1337" s="19"/>
      <c r="E1337" s="19"/>
      <c r="F1337" s="19"/>
      <c r="G1337" s="19"/>
    </row>
    <row r="1338">
      <c r="B1338" s="20"/>
      <c r="C1338" s="20"/>
      <c r="D1338" s="19"/>
      <c r="E1338" s="19"/>
      <c r="F1338" s="19"/>
      <c r="G1338" s="19"/>
    </row>
    <row r="1339">
      <c r="B1339" s="20"/>
      <c r="C1339" s="20"/>
      <c r="D1339" s="19"/>
      <c r="E1339" s="19"/>
      <c r="F1339" s="19"/>
      <c r="G1339" s="19"/>
    </row>
    <row r="1340">
      <c r="B1340" s="20"/>
      <c r="C1340" s="20"/>
      <c r="D1340" s="19"/>
      <c r="E1340" s="19"/>
      <c r="F1340" s="19"/>
      <c r="G1340" s="19"/>
    </row>
    <row r="1341">
      <c r="B1341" s="20"/>
      <c r="C1341" s="20"/>
      <c r="D1341" s="19"/>
      <c r="E1341" s="19"/>
      <c r="F1341" s="19"/>
      <c r="G1341" s="19"/>
    </row>
    <row r="1342">
      <c r="B1342" s="20"/>
      <c r="C1342" s="20"/>
      <c r="D1342" s="19"/>
      <c r="E1342" s="19"/>
      <c r="F1342" s="19"/>
      <c r="G1342" s="19"/>
    </row>
    <row r="1343">
      <c r="B1343" s="20"/>
      <c r="C1343" s="20"/>
      <c r="D1343" s="19"/>
      <c r="E1343" s="19"/>
      <c r="F1343" s="19"/>
      <c r="G1343" s="19"/>
    </row>
    <row r="1344">
      <c r="B1344" s="20"/>
      <c r="C1344" s="20"/>
      <c r="D1344" s="19"/>
      <c r="E1344" s="19"/>
      <c r="F1344" s="19"/>
      <c r="G1344" s="19"/>
    </row>
    <row r="1345">
      <c r="B1345" s="20"/>
      <c r="C1345" s="20"/>
      <c r="D1345" s="19"/>
      <c r="E1345" s="19"/>
      <c r="F1345" s="19"/>
      <c r="G1345" s="19"/>
    </row>
    <row r="1346">
      <c r="B1346" s="20"/>
      <c r="C1346" s="20"/>
      <c r="D1346" s="19"/>
      <c r="E1346" s="19"/>
      <c r="F1346" s="19"/>
      <c r="G1346" s="19"/>
    </row>
    <row r="1347">
      <c r="B1347" s="20"/>
      <c r="C1347" s="20"/>
      <c r="D1347" s="19"/>
      <c r="E1347" s="19"/>
      <c r="F1347" s="19"/>
      <c r="G1347" s="19"/>
    </row>
    <row r="1348">
      <c r="B1348" s="20"/>
      <c r="C1348" s="20"/>
      <c r="D1348" s="19"/>
      <c r="E1348" s="19"/>
      <c r="F1348" s="19"/>
      <c r="G1348" s="19"/>
    </row>
    <row r="1349">
      <c r="B1349" s="20"/>
      <c r="C1349" s="20"/>
      <c r="D1349" s="19"/>
      <c r="E1349" s="19"/>
      <c r="F1349" s="19"/>
      <c r="G1349" s="19"/>
    </row>
    <row r="1350">
      <c r="B1350" s="20"/>
      <c r="C1350" s="20"/>
      <c r="D1350" s="19"/>
      <c r="E1350" s="19"/>
      <c r="F1350" s="19"/>
      <c r="G1350" s="19"/>
    </row>
    <row r="1351">
      <c r="B1351" s="20"/>
      <c r="C1351" s="20"/>
      <c r="D1351" s="19"/>
      <c r="E1351" s="19"/>
      <c r="F1351" s="19"/>
      <c r="G1351" s="19"/>
    </row>
    <row r="1352">
      <c r="B1352" s="20"/>
      <c r="C1352" s="20"/>
      <c r="D1352" s="19"/>
      <c r="E1352" s="19"/>
      <c r="F1352" s="19"/>
      <c r="G1352" s="19"/>
    </row>
    <row r="1353">
      <c r="B1353" s="20"/>
      <c r="C1353" s="20"/>
      <c r="D1353" s="19"/>
      <c r="E1353" s="19"/>
      <c r="F1353" s="19"/>
      <c r="G1353" s="19"/>
    </row>
    <row r="1354">
      <c r="B1354" s="20"/>
      <c r="C1354" s="20"/>
      <c r="D1354" s="19"/>
      <c r="E1354" s="19"/>
      <c r="F1354" s="19"/>
      <c r="G1354" s="19"/>
    </row>
    <row r="1355">
      <c r="B1355" s="20"/>
      <c r="C1355" s="20"/>
      <c r="D1355" s="19"/>
      <c r="E1355" s="19"/>
      <c r="F1355" s="19"/>
      <c r="G1355" s="19"/>
    </row>
    <row r="1356">
      <c r="B1356" s="20"/>
      <c r="C1356" s="20"/>
      <c r="D1356" s="19"/>
      <c r="E1356" s="19"/>
      <c r="F1356" s="19"/>
      <c r="G1356" s="19"/>
    </row>
    <row r="1357">
      <c r="B1357" s="20"/>
      <c r="C1357" s="20"/>
      <c r="D1357" s="19"/>
      <c r="E1357" s="19"/>
      <c r="F1357" s="19"/>
      <c r="G1357" s="19"/>
    </row>
    <row r="1358">
      <c r="B1358" s="20"/>
      <c r="C1358" s="20"/>
      <c r="D1358" s="19"/>
      <c r="E1358" s="19"/>
      <c r="F1358" s="19"/>
      <c r="G1358" s="19"/>
    </row>
    <row r="1359">
      <c r="B1359" s="20"/>
      <c r="C1359" s="20"/>
      <c r="D1359" s="19"/>
      <c r="E1359" s="19"/>
      <c r="F1359" s="19"/>
      <c r="G1359" s="19"/>
    </row>
    <row r="1360">
      <c r="B1360" s="20"/>
      <c r="C1360" s="20"/>
      <c r="D1360" s="19"/>
      <c r="E1360" s="19"/>
      <c r="F1360" s="19"/>
      <c r="G1360" s="19"/>
    </row>
    <row r="1361">
      <c r="B1361" s="20"/>
      <c r="C1361" s="20"/>
      <c r="D1361" s="19"/>
      <c r="E1361" s="19"/>
      <c r="F1361" s="19"/>
      <c r="G1361" s="19"/>
    </row>
    <row r="1362">
      <c r="B1362" s="20"/>
      <c r="C1362" s="20"/>
      <c r="D1362" s="19"/>
      <c r="E1362" s="19"/>
      <c r="F1362" s="19"/>
      <c r="G1362" s="19"/>
    </row>
    <row r="1363">
      <c r="B1363" s="20"/>
      <c r="C1363" s="20"/>
      <c r="D1363" s="19"/>
      <c r="E1363" s="19"/>
      <c r="F1363" s="19"/>
      <c r="G1363" s="19"/>
    </row>
    <row r="1364">
      <c r="B1364" s="20"/>
      <c r="C1364" s="20"/>
      <c r="D1364" s="19"/>
      <c r="E1364" s="19"/>
      <c r="F1364" s="19"/>
      <c r="G1364" s="19"/>
    </row>
    <row r="1365">
      <c r="B1365" s="20"/>
      <c r="C1365" s="20"/>
      <c r="D1365" s="19"/>
      <c r="E1365" s="19"/>
      <c r="F1365" s="19"/>
      <c r="G1365" s="19"/>
    </row>
    <row r="1366">
      <c r="B1366" s="20"/>
      <c r="C1366" s="20"/>
      <c r="D1366" s="19"/>
      <c r="E1366" s="19"/>
      <c r="F1366" s="19"/>
      <c r="G1366" s="19"/>
    </row>
    <row r="1367">
      <c r="B1367" s="20"/>
      <c r="C1367" s="20"/>
      <c r="D1367" s="19"/>
      <c r="E1367" s="19"/>
      <c r="F1367" s="19"/>
      <c r="G1367" s="19"/>
    </row>
    <row r="1368">
      <c r="B1368" s="20"/>
      <c r="C1368" s="20"/>
      <c r="D1368" s="19"/>
      <c r="E1368" s="19"/>
      <c r="F1368" s="19"/>
      <c r="G1368" s="19"/>
    </row>
    <row r="1369">
      <c r="B1369" s="20"/>
      <c r="C1369" s="20"/>
      <c r="D1369" s="19"/>
      <c r="E1369" s="19"/>
      <c r="F1369" s="19"/>
      <c r="G1369" s="19"/>
    </row>
    <row r="1370">
      <c r="B1370" s="20"/>
      <c r="C1370" s="20"/>
      <c r="D1370" s="19"/>
      <c r="E1370" s="19"/>
      <c r="F1370" s="19"/>
      <c r="G1370" s="19"/>
    </row>
    <row r="1371">
      <c r="B1371" s="20"/>
      <c r="C1371" s="20"/>
      <c r="D1371" s="19"/>
      <c r="E1371" s="19"/>
      <c r="F1371" s="19"/>
      <c r="G1371" s="19"/>
    </row>
    <row r="1372">
      <c r="B1372" s="20"/>
      <c r="C1372" s="20"/>
      <c r="D1372" s="19"/>
      <c r="E1372" s="19"/>
      <c r="F1372" s="19"/>
      <c r="G1372" s="19"/>
    </row>
    <row r="1373">
      <c r="B1373" s="20"/>
      <c r="C1373" s="20"/>
      <c r="D1373" s="19"/>
      <c r="E1373" s="19"/>
      <c r="F1373" s="19"/>
      <c r="G1373" s="19"/>
    </row>
    <row r="1374">
      <c r="B1374" s="20"/>
      <c r="C1374" s="20"/>
      <c r="D1374" s="19"/>
      <c r="E1374" s="19"/>
      <c r="F1374" s="19"/>
      <c r="G1374" s="19"/>
    </row>
    <row r="1375">
      <c r="B1375" s="20"/>
      <c r="C1375" s="20"/>
      <c r="D1375" s="19"/>
      <c r="E1375" s="19"/>
      <c r="F1375" s="19"/>
      <c r="G1375" s="19"/>
    </row>
    <row r="1376">
      <c r="B1376" s="20"/>
      <c r="C1376" s="20"/>
      <c r="D1376" s="19"/>
      <c r="E1376" s="19"/>
      <c r="F1376" s="19"/>
      <c r="G1376" s="19"/>
    </row>
    <row r="1377">
      <c r="B1377" s="20"/>
      <c r="C1377" s="20"/>
      <c r="D1377" s="19"/>
      <c r="E1377" s="19"/>
      <c r="F1377" s="19"/>
      <c r="G1377" s="19"/>
    </row>
    <row r="1378">
      <c r="B1378" s="20"/>
      <c r="C1378" s="20"/>
      <c r="D1378" s="19"/>
      <c r="E1378" s="19"/>
      <c r="F1378" s="19"/>
      <c r="G1378" s="19"/>
    </row>
    <row r="1379">
      <c r="B1379" s="20"/>
      <c r="C1379" s="20"/>
      <c r="D1379" s="19"/>
      <c r="E1379" s="19"/>
      <c r="F1379" s="19"/>
      <c r="G1379" s="19"/>
    </row>
    <row r="1380">
      <c r="B1380" s="20"/>
      <c r="C1380" s="20"/>
      <c r="D1380" s="19"/>
      <c r="E1380" s="19"/>
      <c r="F1380" s="19"/>
      <c r="G1380" s="19"/>
    </row>
    <row r="1381">
      <c r="B1381" s="20"/>
      <c r="C1381" s="20"/>
      <c r="D1381" s="19"/>
      <c r="E1381" s="19"/>
      <c r="F1381" s="19"/>
      <c r="G1381" s="19"/>
    </row>
    <row r="1382">
      <c r="B1382" s="20"/>
      <c r="C1382" s="20"/>
      <c r="D1382" s="19"/>
      <c r="E1382" s="19"/>
      <c r="F1382" s="19"/>
      <c r="G1382" s="19"/>
    </row>
    <row r="1383">
      <c r="B1383" s="20"/>
      <c r="C1383" s="20"/>
      <c r="D1383" s="19"/>
      <c r="E1383" s="19"/>
      <c r="F1383" s="19"/>
      <c r="G1383" s="19"/>
    </row>
    <row r="1384">
      <c r="B1384" s="20"/>
      <c r="C1384" s="20"/>
      <c r="D1384" s="19"/>
      <c r="E1384" s="19"/>
      <c r="F1384" s="19"/>
      <c r="G1384" s="19"/>
    </row>
    <row r="1385">
      <c r="B1385" s="20"/>
      <c r="C1385" s="20"/>
      <c r="D1385" s="19"/>
      <c r="E1385" s="19"/>
      <c r="F1385" s="19"/>
      <c r="G1385" s="19"/>
    </row>
    <row r="1386">
      <c r="B1386" s="20"/>
      <c r="C1386" s="20"/>
      <c r="D1386" s="19"/>
      <c r="E1386" s="19"/>
      <c r="F1386" s="19"/>
      <c r="G1386" s="19"/>
    </row>
    <row r="1387">
      <c r="B1387" s="20"/>
      <c r="C1387" s="20"/>
      <c r="D1387" s="19"/>
      <c r="E1387" s="19"/>
      <c r="F1387" s="19"/>
      <c r="G1387" s="19"/>
    </row>
    <row r="1388">
      <c r="B1388" s="20"/>
      <c r="C1388" s="20"/>
      <c r="D1388" s="19"/>
      <c r="E1388" s="19"/>
      <c r="F1388" s="19"/>
      <c r="G1388" s="19"/>
    </row>
    <row r="1389">
      <c r="B1389" s="20"/>
      <c r="C1389" s="20"/>
      <c r="D1389" s="19"/>
      <c r="E1389" s="19"/>
      <c r="F1389" s="19"/>
      <c r="G1389" s="19"/>
    </row>
    <row r="1390">
      <c r="B1390" s="20"/>
      <c r="C1390" s="20"/>
      <c r="D1390" s="19"/>
      <c r="E1390" s="19"/>
      <c r="F1390" s="19"/>
      <c r="G1390" s="19"/>
    </row>
    <row r="1391">
      <c r="B1391" s="20"/>
      <c r="C1391" s="20"/>
      <c r="D1391" s="19"/>
      <c r="E1391" s="19"/>
      <c r="F1391" s="19"/>
      <c r="G1391" s="19"/>
    </row>
    <row r="1392">
      <c r="B1392" s="20"/>
      <c r="C1392" s="20"/>
      <c r="D1392" s="19"/>
      <c r="E1392" s="19"/>
      <c r="F1392" s="19"/>
      <c r="G1392" s="19"/>
    </row>
    <row r="1393">
      <c r="B1393" s="20"/>
      <c r="C1393" s="20"/>
      <c r="D1393" s="19"/>
      <c r="E1393" s="19"/>
      <c r="F1393" s="19"/>
      <c r="G1393" s="19"/>
    </row>
    <row r="1394">
      <c r="B1394" s="20"/>
      <c r="C1394" s="20"/>
      <c r="D1394" s="19"/>
      <c r="E1394" s="19"/>
      <c r="F1394" s="19"/>
      <c r="G1394" s="19"/>
    </row>
    <row r="1395">
      <c r="B1395" s="20"/>
      <c r="C1395" s="20"/>
      <c r="D1395" s="19"/>
      <c r="E1395" s="19"/>
      <c r="F1395" s="19"/>
      <c r="G1395" s="19"/>
    </row>
    <row r="1396">
      <c r="B1396" s="20"/>
      <c r="C1396" s="20"/>
      <c r="D1396" s="19"/>
      <c r="E1396" s="19"/>
      <c r="F1396" s="19"/>
      <c r="G1396" s="19"/>
    </row>
    <row r="1397">
      <c r="B1397" s="20"/>
      <c r="C1397" s="20"/>
      <c r="D1397" s="19"/>
      <c r="E1397" s="19"/>
      <c r="F1397" s="19"/>
      <c r="G1397" s="19"/>
    </row>
    <row r="1398">
      <c r="B1398" s="20"/>
      <c r="C1398" s="20"/>
      <c r="D1398" s="19"/>
      <c r="E1398" s="19"/>
      <c r="F1398" s="19"/>
      <c r="G1398" s="19"/>
    </row>
    <row r="1399">
      <c r="B1399" s="20"/>
      <c r="C1399" s="20"/>
      <c r="D1399" s="19"/>
      <c r="E1399" s="19"/>
      <c r="F1399" s="19"/>
      <c r="G1399" s="19"/>
    </row>
    <row r="1400">
      <c r="B1400" s="20"/>
      <c r="C1400" s="20"/>
      <c r="D1400" s="19"/>
      <c r="E1400" s="19"/>
      <c r="F1400" s="19"/>
      <c r="G1400" s="19"/>
    </row>
    <row r="1401">
      <c r="B1401" s="20"/>
      <c r="C1401" s="20"/>
      <c r="D1401" s="19"/>
      <c r="E1401" s="19"/>
      <c r="F1401" s="19"/>
      <c r="G1401" s="19"/>
    </row>
    <row r="1402">
      <c r="B1402" s="20"/>
      <c r="C1402" s="20"/>
      <c r="D1402" s="19"/>
      <c r="E1402" s="19"/>
      <c r="F1402" s="19"/>
      <c r="G1402" s="19"/>
    </row>
    <row r="1403">
      <c r="B1403" s="20"/>
      <c r="C1403" s="20"/>
      <c r="D1403" s="19"/>
      <c r="E1403" s="19"/>
      <c r="F1403" s="19"/>
      <c r="G1403" s="19"/>
    </row>
    <row r="1404">
      <c r="B1404" s="20"/>
      <c r="C1404" s="20"/>
      <c r="D1404" s="19"/>
      <c r="E1404" s="19"/>
      <c r="F1404" s="19"/>
      <c r="G1404" s="19"/>
    </row>
    <row r="1405">
      <c r="B1405" s="20"/>
      <c r="C1405" s="20"/>
      <c r="D1405" s="19"/>
      <c r="E1405" s="19"/>
      <c r="F1405" s="19"/>
      <c r="G1405" s="19"/>
    </row>
    <row r="1406">
      <c r="B1406" s="20"/>
      <c r="C1406" s="20"/>
      <c r="D1406" s="19"/>
      <c r="E1406" s="19"/>
      <c r="F1406" s="19"/>
      <c r="G1406" s="19"/>
    </row>
    <row r="1407">
      <c r="B1407" s="20"/>
      <c r="C1407" s="20"/>
      <c r="D1407" s="19"/>
      <c r="E1407" s="19"/>
      <c r="F1407" s="19"/>
      <c r="G1407" s="19"/>
    </row>
    <row r="1408">
      <c r="B1408" s="20"/>
      <c r="C1408" s="20"/>
      <c r="D1408" s="19"/>
      <c r="E1408" s="19"/>
      <c r="F1408" s="19"/>
      <c r="G1408" s="19"/>
    </row>
    <row r="1409">
      <c r="B1409" s="20"/>
      <c r="C1409" s="20"/>
      <c r="D1409" s="19"/>
      <c r="E1409" s="19"/>
      <c r="F1409" s="19"/>
      <c r="G1409" s="19"/>
    </row>
    <row r="1410">
      <c r="B1410" s="20"/>
      <c r="C1410" s="20"/>
      <c r="D1410" s="19"/>
      <c r="E1410" s="19"/>
      <c r="F1410" s="19"/>
      <c r="G1410" s="19"/>
    </row>
    <row r="1411">
      <c r="B1411" s="20"/>
      <c r="C1411" s="20"/>
      <c r="D1411" s="19"/>
      <c r="E1411" s="19"/>
      <c r="F1411" s="19"/>
      <c r="G1411" s="19"/>
    </row>
    <row r="1412">
      <c r="B1412" s="20"/>
      <c r="C1412" s="20"/>
      <c r="D1412" s="19"/>
      <c r="E1412" s="19"/>
      <c r="F1412" s="19"/>
      <c r="G1412" s="19"/>
    </row>
    <row r="1413">
      <c r="B1413" s="20"/>
      <c r="C1413" s="20"/>
      <c r="D1413" s="19"/>
      <c r="E1413" s="19"/>
      <c r="F1413" s="19"/>
      <c r="G1413" s="19"/>
    </row>
    <row r="1414">
      <c r="B1414" s="20"/>
      <c r="C1414" s="20"/>
      <c r="D1414" s="19"/>
      <c r="E1414" s="19"/>
      <c r="F1414" s="19"/>
      <c r="G1414" s="19"/>
    </row>
    <row r="1415">
      <c r="B1415" s="20"/>
      <c r="C1415" s="20"/>
      <c r="D1415" s="19"/>
      <c r="E1415" s="19"/>
      <c r="F1415" s="19"/>
      <c r="G1415" s="19"/>
    </row>
    <row r="1416">
      <c r="B1416" s="20"/>
      <c r="C1416" s="20"/>
      <c r="D1416" s="19"/>
      <c r="E1416" s="19"/>
      <c r="F1416" s="19"/>
      <c r="G1416" s="19"/>
    </row>
    <row r="1417">
      <c r="B1417" s="20"/>
      <c r="C1417" s="20"/>
      <c r="D1417" s="19"/>
      <c r="E1417" s="19"/>
      <c r="F1417" s="19"/>
      <c r="G1417" s="19"/>
    </row>
    <row r="1418">
      <c r="B1418" s="20"/>
      <c r="C1418" s="20"/>
      <c r="D1418" s="19"/>
      <c r="E1418" s="19"/>
      <c r="F1418" s="19"/>
      <c r="G1418" s="19"/>
    </row>
    <row r="1419">
      <c r="B1419" s="20"/>
      <c r="C1419" s="20"/>
      <c r="D1419" s="19"/>
      <c r="E1419" s="19"/>
      <c r="F1419" s="19"/>
      <c r="G1419" s="19"/>
    </row>
    <row r="1420">
      <c r="B1420" s="20"/>
      <c r="C1420" s="20"/>
      <c r="D1420" s="19"/>
      <c r="E1420" s="19"/>
      <c r="F1420" s="19"/>
      <c r="G1420" s="19"/>
    </row>
    <row r="1421">
      <c r="B1421" s="20"/>
      <c r="C1421" s="20"/>
      <c r="D1421" s="19"/>
      <c r="E1421" s="19"/>
      <c r="F1421" s="19"/>
      <c r="G1421" s="19"/>
    </row>
    <row r="1422">
      <c r="B1422" s="20"/>
      <c r="C1422" s="20"/>
      <c r="D1422" s="19"/>
      <c r="E1422" s="19"/>
      <c r="F1422" s="19"/>
      <c r="G1422" s="19"/>
    </row>
    <row r="1423">
      <c r="B1423" s="20"/>
      <c r="C1423" s="20"/>
      <c r="D1423" s="19"/>
      <c r="E1423" s="19"/>
      <c r="F1423" s="19"/>
      <c r="G1423" s="19"/>
    </row>
    <row r="1424">
      <c r="B1424" s="20"/>
      <c r="C1424" s="20"/>
      <c r="D1424" s="19"/>
      <c r="E1424" s="19"/>
      <c r="F1424" s="19"/>
      <c r="G1424" s="19"/>
    </row>
    <row r="1425">
      <c r="B1425" s="20"/>
      <c r="C1425" s="20"/>
      <c r="D1425" s="19"/>
      <c r="E1425" s="19"/>
      <c r="F1425" s="19"/>
      <c r="G1425" s="19"/>
    </row>
    <row r="1426">
      <c r="B1426" s="20"/>
      <c r="C1426" s="20"/>
      <c r="D1426" s="19"/>
      <c r="E1426" s="19"/>
      <c r="F1426" s="19"/>
      <c r="G1426" s="19"/>
    </row>
    <row r="1427">
      <c r="B1427" s="20"/>
      <c r="C1427" s="20"/>
      <c r="D1427" s="19"/>
      <c r="E1427" s="19"/>
      <c r="F1427" s="19"/>
      <c r="G1427" s="19"/>
    </row>
    <row r="1428">
      <c r="B1428" s="20"/>
      <c r="C1428" s="20"/>
      <c r="D1428" s="19"/>
      <c r="E1428" s="19"/>
      <c r="F1428" s="19"/>
      <c r="G1428" s="19"/>
    </row>
    <row r="1429">
      <c r="B1429" s="20"/>
      <c r="C1429" s="20"/>
      <c r="D1429" s="19"/>
      <c r="E1429" s="19"/>
      <c r="F1429" s="19"/>
      <c r="G1429" s="19"/>
    </row>
    <row r="1430">
      <c r="B1430" s="20"/>
      <c r="C1430" s="20"/>
      <c r="D1430" s="19"/>
      <c r="E1430" s="19"/>
      <c r="F1430" s="19"/>
      <c r="G1430" s="19"/>
    </row>
    <row r="1431">
      <c r="B1431" s="20"/>
      <c r="C1431" s="20"/>
      <c r="D1431" s="19"/>
      <c r="E1431" s="19"/>
      <c r="F1431" s="19"/>
      <c r="G1431" s="19"/>
    </row>
    <row r="1432">
      <c r="B1432" s="20"/>
      <c r="C1432" s="20"/>
      <c r="D1432" s="19"/>
      <c r="E1432" s="19"/>
      <c r="F1432" s="19"/>
      <c r="G1432" s="19"/>
    </row>
    <row r="1433">
      <c r="B1433" s="20"/>
      <c r="C1433" s="20"/>
      <c r="D1433" s="19"/>
      <c r="E1433" s="19"/>
      <c r="F1433" s="19"/>
      <c r="G1433" s="19"/>
    </row>
    <row r="1434">
      <c r="B1434" s="20"/>
      <c r="C1434" s="20"/>
      <c r="D1434" s="19"/>
      <c r="E1434" s="19"/>
      <c r="F1434" s="19"/>
      <c r="G1434" s="19"/>
    </row>
    <row r="1435">
      <c r="B1435" s="20"/>
      <c r="C1435" s="20"/>
      <c r="D1435" s="19"/>
      <c r="E1435" s="19"/>
      <c r="F1435" s="19"/>
      <c r="G1435" s="19"/>
    </row>
    <row r="1436">
      <c r="B1436" s="20"/>
      <c r="C1436" s="20"/>
      <c r="D1436" s="19"/>
      <c r="E1436" s="19"/>
      <c r="F1436" s="19"/>
      <c r="G1436" s="19"/>
    </row>
    <row r="1437">
      <c r="B1437" s="20"/>
      <c r="C1437" s="20"/>
      <c r="D1437" s="19"/>
      <c r="E1437" s="19"/>
      <c r="F1437" s="19"/>
      <c r="G1437" s="19"/>
    </row>
    <row r="1438">
      <c r="B1438" s="20"/>
      <c r="C1438" s="20"/>
      <c r="D1438" s="19"/>
      <c r="E1438" s="19"/>
      <c r="F1438" s="19"/>
      <c r="G1438" s="19"/>
    </row>
    <row r="1439">
      <c r="B1439" s="20"/>
      <c r="C1439" s="20"/>
      <c r="D1439" s="19"/>
      <c r="E1439" s="19"/>
      <c r="F1439" s="19"/>
      <c r="G1439" s="19"/>
    </row>
    <row r="1440">
      <c r="B1440" s="20"/>
      <c r="C1440" s="20"/>
      <c r="D1440" s="19"/>
      <c r="E1440" s="19"/>
      <c r="F1440" s="19"/>
      <c r="G1440" s="19"/>
    </row>
    <row r="1441">
      <c r="B1441" s="20"/>
      <c r="C1441" s="20"/>
      <c r="D1441" s="19"/>
      <c r="E1441" s="19"/>
      <c r="F1441" s="19"/>
      <c r="G1441" s="19"/>
    </row>
    <row r="1442">
      <c r="B1442" s="20"/>
      <c r="C1442" s="20"/>
      <c r="D1442" s="19"/>
      <c r="E1442" s="19"/>
      <c r="F1442" s="19"/>
      <c r="G1442" s="19"/>
    </row>
    <row r="1443">
      <c r="B1443" s="20"/>
      <c r="C1443" s="20"/>
      <c r="D1443" s="19"/>
      <c r="E1443" s="19"/>
      <c r="F1443" s="19"/>
      <c r="G1443" s="19"/>
    </row>
    <row r="1444">
      <c r="B1444" s="20"/>
      <c r="C1444" s="20"/>
      <c r="D1444" s="19"/>
      <c r="E1444" s="19"/>
      <c r="F1444" s="19"/>
      <c r="G1444" s="19"/>
    </row>
    <row r="1445">
      <c r="B1445" s="20"/>
      <c r="C1445" s="20"/>
      <c r="D1445" s="19"/>
      <c r="E1445" s="19"/>
      <c r="F1445" s="19"/>
      <c r="G1445" s="19"/>
    </row>
    <row r="1446">
      <c r="B1446" s="20"/>
      <c r="C1446" s="20"/>
      <c r="D1446" s="19"/>
      <c r="E1446" s="19"/>
      <c r="F1446" s="19"/>
      <c r="G1446" s="19"/>
    </row>
    <row r="1447">
      <c r="B1447" s="20"/>
      <c r="C1447" s="20"/>
      <c r="D1447" s="19"/>
      <c r="E1447" s="19"/>
      <c r="F1447" s="19"/>
      <c r="G1447" s="19"/>
    </row>
    <row r="1448">
      <c r="B1448" s="20"/>
      <c r="C1448" s="20"/>
      <c r="D1448" s="19"/>
      <c r="E1448" s="19"/>
      <c r="F1448" s="19"/>
      <c r="G1448" s="19"/>
    </row>
    <row r="1449">
      <c r="B1449" s="20"/>
      <c r="C1449" s="20"/>
      <c r="D1449" s="19"/>
      <c r="E1449" s="19"/>
      <c r="F1449" s="19"/>
      <c r="G1449" s="19"/>
    </row>
    <row r="1450">
      <c r="B1450" s="20"/>
      <c r="C1450" s="20"/>
      <c r="D1450" s="19"/>
      <c r="E1450" s="19"/>
      <c r="F1450" s="19"/>
      <c r="G1450" s="19"/>
    </row>
    <row r="1451">
      <c r="B1451" s="20"/>
      <c r="C1451" s="20"/>
      <c r="D1451" s="19"/>
      <c r="E1451" s="19"/>
      <c r="F1451" s="19"/>
      <c r="G1451" s="19"/>
    </row>
    <row r="1452">
      <c r="B1452" s="20"/>
      <c r="C1452" s="20"/>
      <c r="D1452" s="19"/>
      <c r="E1452" s="19"/>
      <c r="F1452" s="19"/>
      <c r="G1452" s="19"/>
    </row>
    <row r="1453">
      <c r="B1453" s="20"/>
      <c r="C1453" s="20"/>
      <c r="D1453" s="19"/>
      <c r="E1453" s="19"/>
      <c r="F1453" s="19"/>
      <c r="G1453" s="19"/>
    </row>
    <row r="1454">
      <c r="B1454" s="20"/>
      <c r="C1454" s="20"/>
      <c r="D1454" s="19"/>
      <c r="E1454" s="19"/>
      <c r="F1454" s="19"/>
      <c r="G1454" s="19"/>
    </row>
    <row r="1455">
      <c r="B1455" s="20"/>
      <c r="C1455" s="20"/>
      <c r="D1455" s="19"/>
      <c r="E1455" s="19"/>
      <c r="F1455" s="19"/>
      <c r="G1455" s="19"/>
    </row>
    <row r="1456">
      <c r="B1456" s="20"/>
      <c r="C1456" s="20"/>
      <c r="D1456" s="19"/>
      <c r="E1456" s="19"/>
      <c r="F1456" s="19"/>
      <c r="G1456" s="19"/>
    </row>
    <row r="1457">
      <c r="B1457" s="20"/>
      <c r="C1457" s="20"/>
      <c r="D1457" s="19"/>
      <c r="E1457" s="19"/>
      <c r="F1457" s="19"/>
      <c r="G1457" s="19"/>
    </row>
    <row r="1458">
      <c r="B1458" s="20"/>
      <c r="C1458" s="20"/>
      <c r="D1458" s="19"/>
      <c r="E1458" s="19"/>
      <c r="F1458" s="19"/>
      <c r="G1458" s="19"/>
    </row>
    <row r="1459">
      <c r="B1459" s="20"/>
      <c r="C1459" s="20"/>
      <c r="D1459" s="19"/>
      <c r="E1459" s="19"/>
      <c r="F1459" s="19"/>
      <c r="G1459" s="19"/>
    </row>
    <row r="1460">
      <c r="B1460" s="20"/>
      <c r="C1460" s="20"/>
      <c r="D1460" s="19"/>
      <c r="E1460" s="19"/>
      <c r="F1460" s="19"/>
      <c r="G1460" s="19"/>
    </row>
    <row r="1461">
      <c r="B1461" s="20"/>
      <c r="C1461" s="20"/>
      <c r="D1461" s="19"/>
      <c r="E1461" s="19"/>
      <c r="F1461" s="19"/>
      <c r="G1461" s="19"/>
    </row>
    <row r="1462">
      <c r="B1462" s="20"/>
      <c r="C1462" s="20"/>
      <c r="D1462" s="19"/>
      <c r="E1462" s="19"/>
      <c r="F1462" s="19"/>
      <c r="G1462" s="19"/>
    </row>
    <row r="1463">
      <c r="B1463" s="20"/>
      <c r="C1463" s="20"/>
      <c r="D1463" s="19"/>
      <c r="E1463" s="19"/>
      <c r="F1463" s="19"/>
      <c r="G1463" s="19"/>
    </row>
    <row r="1464">
      <c r="B1464" s="20"/>
      <c r="C1464" s="20"/>
      <c r="D1464" s="19"/>
      <c r="E1464" s="19"/>
      <c r="F1464" s="19"/>
      <c r="G1464" s="19"/>
    </row>
    <row r="1465">
      <c r="B1465" s="20"/>
      <c r="C1465" s="20"/>
      <c r="D1465" s="19"/>
      <c r="E1465" s="19"/>
      <c r="F1465" s="19"/>
      <c r="G1465" s="19"/>
    </row>
    <row r="1466">
      <c r="B1466" s="20"/>
      <c r="C1466" s="20"/>
      <c r="D1466" s="19"/>
      <c r="E1466" s="19"/>
      <c r="F1466" s="19"/>
      <c r="G1466" s="19"/>
    </row>
    <row r="1467">
      <c r="B1467" s="20"/>
      <c r="C1467" s="20"/>
      <c r="D1467" s="19"/>
      <c r="E1467" s="19"/>
      <c r="F1467" s="19"/>
      <c r="G1467" s="19"/>
    </row>
    <row r="1468">
      <c r="B1468" s="20"/>
      <c r="C1468" s="20"/>
      <c r="D1468" s="19"/>
      <c r="E1468" s="19"/>
      <c r="F1468" s="19"/>
      <c r="G1468" s="19"/>
    </row>
    <row r="1469">
      <c r="B1469" s="20"/>
      <c r="C1469" s="20"/>
      <c r="D1469" s="19"/>
      <c r="E1469" s="19"/>
      <c r="F1469" s="19"/>
      <c r="G1469" s="19"/>
    </row>
    <row r="1470">
      <c r="B1470" s="20"/>
      <c r="C1470" s="20"/>
      <c r="D1470" s="19"/>
      <c r="E1470" s="19"/>
      <c r="F1470" s="19"/>
      <c r="G1470" s="19"/>
    </row>
    <row r="1471">
      <c r="B1471" s="20"/>
      <c r="C1471" s="20"/>
      <c r="D1471" s="19"/>
      <c r="E1471" s="19"/>
      <c r="F1471" s="19"/>
      <c r="G1471" s="19"/>
    </row>
    <row r="1472">
      <c r="B1472" s="20"/>
      <c r="C1472" s="20"/>
      <c r="D1472" s="19"/>
      <c r="E1472" s="19"/>
      <c r="F1472" s="19"/>
      <c r="G1472" s="19"/>
    </row>
    <row r="1473">
      <c r="B1473" s="20"/>
      <c r="C1473" s="20"/>
      <c r="D1473" s="19"/>
      <c r="E1473" s="19"/>
      <c r="F1473" s="19"/>
      <c r="G1473" s="19"/>
    </row>
    <row r="1474">
      <c r="B1474" s="20"/>
      <c r="C1474" s="20"/>
      <c r="D1474" s="19"/>
      <c r="E1474" s="19"/>
      <c r="F1474" s="19"/>
      <c r="G1474" s="19"/>
    </row>
    <row r="1475">
      <c r="B1475" s="20"/>
      <c r="C1475" s="20"/>
      <c r="D1475" s="19"/>
      <c r="E1475" s="19"/>
      <c r="F1475" s="19"/>
      <c r="G1475" s="19"/>
    </row>
    <row r="1476">
      <c r="B1476" s="20"/>
      <c r="C1476" s="20"/>
      <c r="D1476" s="19"/>
      <c r="E1476" s="19"/>
      <c r="F1476" s="19"/>
      <c r="G1476" s="19"/>
    </row>
    <row r="1477">
      <c r="B1477" s="20"/>
      <c r="C1477" s="20"/>
      <c r="D1477" s="19"/>
      <c r="E1477" s="19"/>
      <c r="F1477" s="19"/>
      <c r="G1477" s="19"/>
    </row>
    <row r="1478">
      <c r="B1478" s="20"/>
      <c r="C1478" s="20"/>
      <c r="D1478" s="19"/>
      <c r="E1478" s="19"/>
      <c r="F1478" s="19"/>
      <c r="G1478" s="19"/>
    </row>
    <row r="1479">
      <c r="B1479" s="20"/>
      <c r="C1479" s="20"/>
      <c r="D1479" s="19"/>
      <c r="E1479" s="19"/>
      <c r="F1479" s="19"/>
      <c r="G1479" s="19"/>
    </row>
    <row r="1480">
      <c r="B1480" s="20"/>
      <c r="C1480" s="20"/>
      <c r="D1480" s="19"/>
      <c r="E1480" s="19"/>
      <c r="F1480" s="19"/>
      <c r="G1480" s="19"/>
    </row>
    <row r="1481">
      <c r="B1481" s="20"/>
      <c r="C1481" s="20"/>
      <c r="D1481" s="19"/>
      <c r="E1481" s="19"/>
      <c r="F1481" s="19"/>
      <c r="G1481" s="19"/>
    </row>
    <row r="1482">
      <c r="B1482" s="20"/>
      <c r="C1482" s="20"/>
      <c r="D1482" s="19"/>
      <c r="E1482" s="19"/>
      <c r="F1482" s="19"/>
      <c r="G1482" s="19"/>
    </row>
    <row r="1483">
      <c r="B1483" s="20"/>
      <c r="C1483" s="20"/>
      <c r="D1483" s="19"/>
      <c r="E1483" s="19"/>
      <c r="F1483" s="19"/>
      <c r="G1483" s="19"/>
    </row>
    <row r="1484">
      <c r="B1484" s="20"/>
      <c r="C1484" s="20"/>
      <c r="D1484" s="19"/>
      <c r="E1484" s="19"/>
      <c r="F1484" s="19"/>
      <c r="G1484" s="19"/>
    </row>
    <row r="1485">
      <c r="B1485" s="20"/>
      <c r="C1485" s="20"/>
      <c r="D1485" s="19"/>
      <c r="E1485" s="19"/>
      <c r="F1485" s="19"/>
      <c r="G1485" s="19"/>
    </row>
    <row r="1486">
      <c r="B1486" s="20"/>
      <c r="C1486" s="20"/>
      <c r="D1486" s="19"/>
      <c r="E1486" s="19"/>
      <c r="F1486" s="19"/>
      <c r="G1486" s="19"/>
    </row>
    <row r="1487">
      <c r="B1487" s="20"/>
      <c r="C1487" s="20"/>
      <c r="D1487" s="19"/>
      <c r="E1487" s="19"/>
      <c r="F1487" s="19"/>
      <c r="G1487" s="19"/>
    </row>
    <row r="1488">
      <c r="B1488" s="20"/>
      <c r="C1488" s="20"/>
      <c r="D1488" s="19"/>
      <c r="E1488" s="19"/>
      <c r="F1488" s="19"/>
      <c r="G1488" s="19"/>
    </row>
    <row r="1489">
      <c r="B1489" s="20"/>
      <c r="C1489" s="20"/>
      <c r="D1489" s="19"/>
      <c r="E1489" s="19"/>
      <c r="F1489" s="19"/>
      <c r="G1489" s="19"/>
    </row>
    <row r="1490">
      <c r="B1490" s="20"/>
      <c r="C1490" s="20"/>
      <c r="D1490" s="19"/>
      <c r="E1490" s="19"/>
      <c r="F1490" s="19"/>
      <c r="G1490" s="19"/>
    </row>
    <row r="1491">
      <c r="B1491" s="20"/>
      <c r="C1491" s="20"/>
      <c r="D1491" s="19"/>
      <c r="E1491" s="19"/>
      <c r="F1491" s="19"/>
      <c r="G1491" s="19"/>
    </row>
    <row r="1492">
      <c r="B1492" s="20"/>
      <c r="C1492" s="20"/>
      <c r="D1492" s="19"/>
      <c r="E1492" s="19"/>
      <c r="F1492" s="19"/>
      <c r="G1492" s="19"/>
    </row>
    <row r="1493">
      <c r="B1493" s="20"/>
      <c r="C1493" s="20"/>
      <c r="D1493" s="19"/>
      <c r="E1493" s="19"/>
      <c r="F1493" s="19"/>
      <c r="G1493" s="19"/>
    </row>
    <row r="1494">
      <c r="B1494" s="20"/>
      <c r="C1494" s="20"/>
      <c r="D1494" s="19"/>
      <c r="E1494" s="19"/>
      <c r="F1494" s="19"/>
      <c r="G1494" s="19"/>
    </row>
    <row r="1495">
      <c r="B1495" s="20"/>
      <c r="C1495" s="20"/>
      <c r="D1495" s="19"/>
      <c r="E1495" s="19"/>
      <c r="F1495" s="19"/>
      <c r="G1495" s="19"/>
    </row>
    <row r="1496">
      <c r="B1496" s="20"/>
      <c r="C1496" s="20"/>
      <c r="D1496" s="19"/>
      <c r="E1496" s="19"/>
      <c r="F1496" s="19"/>
      <c r="G1496" s="19"/>
    </row>
    <row r="1497">
      <c r="B1497" s="20"/>
      <c r="C1497" s="20"/>
      <c r="D1497" s="19"/>
      <c r="E1497" s="19"/>
      <c r="F1497" s="19"/>
      <c r="G1497" s="19"/>
    </row>
    <row r="1498">
      <c r="B1498" s="20"/>
      <c r="C1498" s="20"/>
      <c r="D1498" s="19"/>
      <c r="E1498" s="19"/>
      <c r="F1498" s="19"/>
      <c r="G1498" s="19"/>
    </row>
    <row r="1499">
      <c r="B1499" s="20"/>
      <c r="C1499" s="20"/>
      <c r="D1499" s="19"/>
      <c r="E1499" s="19"/>
      <c r="F1499" s="19"/>
      <c r="G1499" s="19"/>
    </row>
    <row r="1500">
      <c r="B1500" s="20"/>
      <c r="C1500" s="20"/>
      <c r="D1500" s="19"/>
      <c r="E1500" s="19"/>
      <c r="F1500" s="19"/>
      <c r="G1500" s="19"/>
    </row>
    <row r="1501">
      <c r="B1501" s="20"/>
      <c r="C1501" s="20"/>
      <c r="D1501" s="19"/>
      <c r="E1501" s="19"/>
      <c r="F1501" s="19"/>
      <c r="G1501" s="19"/>
    </row>
    <row r="1502">
      <c r="B1502" s="20"/>
      <c r="C1502" s="20"/>
      <c r="D1502" s="19"/>
      <c r="E1502" s="19"/>
      <c r="F1502" s="19"/>
      <c r="G1502" s="19"/>
    </row>
    <row r="1503">
      <c r="B1503" s="20"/>
      <c r="C1503" s="20"/>
      <c r="D1503" s="19"/>
      <c r="E1503" s="19"/>
      <c r="F1503" s="19"/>
      <c r="G1503" s="19"/>
    </row>
    <row r="1504">
      <c r="B1504" s="20"/>
      <c r="C1504" s="20"/>
      <c r="D1504" s="19"/>
      <c r="E1504" s="19"/>
      <c r="F1504" s="19"/>
      <c r="G1504" s="19"/>
    </row>
    <row r="1505">
      <c r="B1505" s="20"/>
      <c r="C1505" s="20"/>
      <c r="D1505" s="19"/>
      <c r="E1505" s="19"/>
      <c r="F1505" s="19"/>
      <c r="G1505" s="19"/>
    </row>
    <row r="1506">
      <c r="B1506" s="20"/>
      <c r="C1506" s="20"/>
      <c r="D1506" s="19"/>
      <c r="E1506" s="19"/>
      <c r="F1506" s="19"/>
      <c r="G1506" s="19"/>
    </row>
    <row r="1507">
      <c r="B1507" s="20"/>
      <c r="C1507" s="20"/>
      <c r="D1507" s="19"/>
      <c r="E1507" s="19"/>
      <c r="F1507" s="19"/>
      <c r="G1507" s="19"/>
    </row>
    <row r="1508">
      <c r="B1508" s="20"/>
      <c r="C1508" s="20"/>
      <c r="D1508" s="19"/>
      <c r="E1508" s="19"/>
      <c r="F1508" s="19"/>
      <c r="G1508" s="19"/>
    </row>
    <row r="1509">
      <c r="B1509" s="20"/>
      <c r="C1509" s="20"/>
      <c r="D1509" s="19"/>
      <c r="E1509" s="19"/>
      <c r="F1509" s="19"/>
      <c r="G1509" s="19"/>
    </row>
    <row r="1510">
      <c r="B1510" s="20"/>
      <c r="C1510" s="20"/>
      <c r="D1510" s="19"/>
      <c r="E1510" s="19"/>
      <c r="F1510" s="19"/>
      <c r="G1510" s="19"/>
    </row>
    <row r="1511">
      <c r="B1511" s="20"/>
      <c r="C1511" s="20"/>
      <c r="D1511" s="19"/>
      <c r="E1511" s="19"/>
      <c r="F1511" s="19"/>
      <c r="G1511" s="19"/>
    </row>
    <row r="1512">
      <c r="B1512" s="20"/>
      <c r="C1512" s="20"/>
      <c r="D1512" s="19"/>
      <c r="E1512" s="19"/>
      <c r="F1512" s="19"/>
      <c r="G1512" s="19"/>
    </row>
    <row r="1513">
      <c r="B1513" s="20"/>
      <c r="C1513" s="20"/>
      <c r="D1513" s="19"/>
      <c r="E1513" s="19"/>
      <c r="F1513" s="19"/>
      <c r="G1513" s="19"/>
    </row>
    <row r="1514">
      <c r="B1514" s="20"/>
      <c r="C1514" s="20"/>
      <c r="D1514" s="19"/>
      <c r="E1514" s="19"/>
      <c r="F1514" s="19"/>
      <c r="G1514" s="19"/>
    </row>
    <row r="1515">
      <c r="B1515" s="20"/>
      <c r="C1515" s="20"/>
      <c r="D1515" s="19"/>
      <c r="E1515" s="19"/>
      <c r="F1515" s="19"/>
      <c r="G1515" s="19"/>
    </row>
    <row r="1516">
      <c r="B1516" s="20"/>
      <c r="C1516" s="20"/>
      <c r="D1516" s="19"/>
      <c r="E1516" s="19"/>
      <c r="F1516" s="19"/>
      <c r="G1516" s="19"/>
    </row>
    <row r="1517">
      <c r="B1517" s="20"/>
      <c r="C1517" s="20"/>
      <c r="D1517" s="19"/>
      <c r="E1517" s="19"/>
      <c r="F1517" s="19"/>
      <c r="G1517" s="19"/>
    </row>
    <row r="1518">
      <c r="B1518" s="20"/>
      <c r="C1518" s="20"/>
      <c r="D1518" s="19"/>
      <c r="E1518" s="19"/>
      <c r="F1518" s="19"/>
      <c r="G1518" s="19"/>
    </row>
    <row r="1519">
      <c r="B1519" s="20"/>
      <c r="C1519" s="20"/>
      <c r="D1519" s="19"/>
      <c r="E1519" s="19"/>
      <c r="F1519" s="19"/>
      <c r="G1519" s="19"/>
    </row>
    <row r="1520">
      <c r="B1520" s="20"/>
      <c r="C1520" s="20"/>
      <c r="D1520" s="19"/>
      <c r="E1520" s="19"/>
      <c r="F1520" s="19"/>
      <c r="G1520" s="19"/>
    </row>
    <row r="1521">
      <c r="B1521" s="20"/>
      <c r="C1521" s="20"/>
      <c r="D1521" s="19"/>
      <c r="E1521" s="19"/>
      <c r="F1521" s="19"/>
      <c r="G1521" s="19"/>
    </row>
    <row r="1522">
      <c r="B1522" s="20"/>
      <c r="C1522" s="20"/>
      <c r="D1522" s="19"/>
      <c r="E1522" s="19"/>
      <c r="F1522" s="19"/>
      <c r="G1522" s="19"/>
    </row>
    <row r="1523">
      <c r="B1523" s="20"/>
      <c r="C1523" s="20"/>
      <c r="D1523" s="19"/>
      <c r="E1523" s="19"/>
      <c r="F1523" s="19"/>
      <c r="G1523" s="19"/>
    </row>
    <row r="1524">
      <c r="B1524" s="20"/>
      <c r="C1524" s="20"/>
      <c r="D1524" s="19"/>
      <c r="E1524" s="19"/>
      <c r="F1524" s="19"/>
      <c r="G1524" s="19"/>
    </row>
    <row r="1525">
      <c r="B1525" s="20"/>
      <c r="C1525" s="20"/>
      <c r="D1525" s="19"/>
      <c r="E1525" s="19"/>
      <c r="F1525" s="19"/>
      <c r="G1525" s="19"/>
    </row>
    <row r="1526">
      <c r="B1526" s="20"/>
      <c r="C1526" s="20"/>
      <c r="D1526" s="19"/>
      <c r="E1526" s="19"/>
      <c r="F1526" s="19"/>
      <c r="G1526" s="19"/>
    </row>
    <row r="1527">
      <c r="B1527" s="20"/>
      <c r="C1527" s="20"/>
      <c r="D1527" s="19"/>
      <c r="E1527" s="19"/>
      <c r="F1527" s="19"/>
      <c r="G1527" s="19"/>
    </row>
    <row r="1528">
      <c r="B1528" s="20"/>
      <c r="C1528" s="20"/>
      <c r="D1528" s="19"/>
      <c r="E1528" s="19"/>
      <c r="F1528" s="19"/>
      <c r="G1528" s="19"/>
    </row>
    <row r="1529">
      <c r="B1529" s="20"/>
      <c r="C1529" s="20"/>
      <c r="D1529" s="19"/>
      <c r="E1529" s="19"/>
      <c r="F1529" s="19"/>
      <c r="G1529" s="19"/>
    </row>
    <row r="1530">
      <c r="B1530" s="20"/>
      <c r="C1530" s="20"/>
      <c r="D1530" s="19"/>
      <c r="E1530" s="19"/>
      <c r="F1530" s="19"/>
      <c r="G1530" s="19"/>
    </row>
    <row r="1531">
      <c r="B1531" s="20"/>
      <c r="C1531" s="20"/>
      <c r="D1531" s="19"/>
      <c r="E1531" s="19"/>
      <c r="F1531" s="19"/>
      <c r="G1531" s="19"/>
    </row>
    <row r="1532">
      <c r="B1532" s="20"/>
      <c r="C1532" s="20"/>
      <c r="D1532" s="19"/>
      <c r="E1532" s="19"/>
      <c r="F1532" s="19"/>
      <c r="G1532" s="19"/>
    </row>
    <row r="1533">
      <c r="B1533" s="20"/>
      <c r="C1533" s="20"/>
      <c r="D1533" s="19"/>
      <c r="E1533" s="19"/>
      <c r="F1533" s="19"/>
      <c r="G1533" s="19"/>
    </row>
    <row r="1534">
      <c r="B1534" s="20"/>
      <c r="C1534" s="20"/>
      <c r="D1534" s="19"/>
      <c r="E1534" s="19"/>
      <c r="F1534" s="19"/>
      <c r="G1534" s="19"/>
    </row>
    <row r="1535">
      <c r="B1535" s="20"/>
      <c r="C1535" s="20"/>
      <c r="D1535" s="19"/>
      <c r="E1535" s="19"/>
      <c r="F1535" s="19"/>
      <c r="G1535" s="19"/>
    </row>
    <row r="1536">
      <c r="B1536" s="20"/>
      <c r="C1536" s="20"/>
      <c r="D1536" s="19"/>
      <c r="E1536" s="19"/>
      <c r="F1536" s="19"/>
      <c r="G1536" s="19"/>
    </row>
    <row r="1537">
      <c r="B1537" s="20"/>
      <c r="C1537" s="20"/>
      <c r="D1537" s="19"/>
      <c r="E1537" s="19"/>
      <c r="F1537" s="19"/>
      <c r="G1537" s="19"/>
    </row>
    <row r="1538">
      <c r="B1538" s="20"/>
      <c r="C1538" s="20"/>
      <c r="D1538" s="19"/>
      <c r="E1538" s="19"/>
      <c r="F1538" s="19"/>
      <c r="G1538" s="19"/>
    </row>
    <row r="1539">
      <c r="B1539" s="20"/>
      <c r="C1539" s="20"/>
      <c r="D1539" s="19"/>
      <c r="E1539" s="19"/>
      <c r="F1539" s="19"/>
      <c r="G1539" s="19"/>
    </row>
    <row r="1540">
      <c r="B1540" s="20"/>
      <c r="C1540" s="20"/>
      <c r="D1540" s="19"/>
      <c r="E1540" s="19"/>
      <c r="F1540" s="19"/>
      <c r="G1540" s="19"/>
    </row>
    <row r="1541">
      <c r="B1541" s="20"/>
      <c r="C1541" s="20"/>
      <c r="D1541" s="19"/>
      <c r="E1541" s="19"/>
      <c r="F1541" s="19"/>
      <c r="G1541" s="19"/>
    </row>
    <row r="1542">
      <c r="B1542" s="20"/>
      <c r="C1542" s="20"/>
      <c r="D1542" s="19"/>
      <c r="E1542" s="19"/>
      <c r="F1542" s="19"/>
      <c r="G1542" s="19"/>
    </row>
    <row r="1543">
      <c r="B1543" s="20"/>
      <c r="C1543" s="20"/>
      <c r="D1543" s="19"/>
      <c r="E1543" s="19"/>
      <c r="F1543" s="19"/>
      <c r="G1543" s="19"/>
    </row>
    <row r="1544">
      <c r="B1544" s="20"/>
      <c r="C1544" s="20"/>
      <c r="D1544" s="19"/>
      <c r="E1544" s="19"/>
      <c r="F1544" s="19"/>
      <c r="G1544" s="19"/>
    </row>
    <row r="1545">
      <c r="B1545" s="20"/>
      <c r="C1545" s="20"/>
      <c r="D1545" s="19"/>
      <c r="E1545" s="19"/>
      <c r="F1545" s="19"/>
      <c r="G1545" s="19"/>
    </row>
    <row r="1546">
      <c r="B1546" s="20"/>
      <c r="C1546" s="20"/>
      <c r="D1546" s="19"/>
      <c r="E1546" s="19"/>
      <c r="F1546" s="19"/>
      <c r="G1546" s="19"/>
    </row>
    <row r="1547">
      <c r="B1547" s="20"/>
      <c r="C1547" s="20"/>
      <c r="D1547" s="19"/>
      <c r="E1547" s="19"/>
      <c r="F1547" s="19"/>
      <c r="G1547" s="19"/>
    </row>
    <row r="1548">
      <c r="B1548" s="20"/>
      <c r="C1548" s="20"/>
      <c r="D1548" s="19"/>
      <c r="E1548" s="19"/>
      <c r="F1548" s="19"/>
      <c r="G1548" s="19"/>
    </row>
    <row r="1549">
      <c r="B1549" s="20"/>
      <c r="C1549" s="20"/>
      <c r="D1549" s="19"/>
      <c r="E1549" s="19"/>
      <c r="F1549" s="19"/>
      <c r="G1549" s="19"/>
    </row>
    <row r="1550">
      <c r="B1550" s="20"/>
      <c r="C1550" s="20"/>
      <c r="D1550" s="19"/>
      <c r="E1550" s="19"/>
      <c r="F1550" s="19"/>
      <c r="G1550" s="19"/>
    </row>
    <row r="1551">
      <c r="B1551" s="20"/>
      <c r="C1551" s="20"/>
      <c r="D1551" s="19"/>
      <c r="E1551" s="19"/>
      <c r="F1551" s="19"/>
      <c r="G1551" s="19"/>
    </row>
    <row r="1552">
      <c r="B1552" s="20"/>
      <c r="C1552" s="20"/>
      <c r="D1552" s="19"/>
      <c r="E1552" s="19"/>
      <c r="F1552" s="19"/>
      <c r="G1552" s="19"/>
    </row>
    <row r="1553">
      <c r="B1553" s="20"/>
      <c r="C1553" s="20"/>
      <c r="D1553" s="19"/>
      <c r="E1553" s="19"/>
      <c r="F1553" s="19"/>
      <c r="G1553" s="19"/>
    </row>
    <row r="1554">
      <c r="B1554" s="20"/>
      <c r="C1554" s="20"/>
      <c r="D1554" s="19"/>
      <c r="E1554" s="19"/>
      <c r="F1554" s="19"/>
      <c r="G1554" s="19"/>
    </row>
    <row r="1555">
      <c r="B1555" s="20"/>
      <c r="C1555" s="20"/>
      <c r="D1555" s="19"/>
      <c r="E1555" s="19"/>
      <c r="F1555" s="19"/>
      <c r="G1555" s="19"/>
    </row>
    <row r="1556">
      <c r="B1556" s="20"/>
      <c r="C1556" s="20"/>
      <c r="D1556" s="19"/>
      <c r="E1556" s="19"/>
      <c r="F1556" s="19"/>
      <c r="G1556" s="19"/>
    </row>
    <row r="1557">
      <c r="B1557" s="20"/>
      <c r="C1557" s="20"/>
      <c r="D1557" s="19"/>
      <c r="E1557" s="19"/>
      <c r="F1557" s="19"/>
      <c r="G1557" s="19"/>
    </row>
    <row r="1558">
      <c r="B1558" s="20"/>
      <c r="C1558" s="20"/>
      <c r="D1558" s="19"/>
      <c r="E1558" s="19"/>
      <c r="F1558" s="19"/>
      <c r="G1558" s="19"/>
    </row>
    <row r="1559">
      <c r="B1559" s="20"/>
      <c r="C1559" s="20"/>
      <c r="D1559" s="19"/>
      <c r="E1559" s="19"/>
      <c r="F1559" s="19"/>
      <c r="G1559" s="19"/>
    </row>
    <row r="1560">
      <c r="B1560" s="20"/>
      <c r="C1560" s="20"/>
      <c r="D1560" s="19"/>
      <c r="E1560" s="19"/>
      <c r="F1560" s="19"/>
      <c r="G1560" s="19"/>
    </row>
    <row r="1561">
      <c r="B1561" s="20"/>
      <c r="C1561" s="20"/>
      <c r="D1561" s="19"/>
      <c r="E1561" s="19"/>
      <c r="F1561" s="19"/>
      <c r="G1561" s="19"/>
    </row>
    <row r="1562">
      <c r="B1562" s="20"/>
      <c r="C1562" s="20"/>
      <c r="D1562" s="19"/>
      <c r="E1562" s="19"/>
      <c r="F1562" s="19"/>
      <c r="G1562" s="19"/>
    </row>
    <row r="1563">
      <c r="B1563" s="20"/>
      <c r="C1563" s="20"/>
      <c r="D1563" s="19"/>
      <c r="E1563" s="19"/>
      <c r="F1563" s="19"/>
      <c r="G1563" s="19"/>
    </row>
    <row r="1564">
      <c r="B1564" s="20"/>
      <c r="C1564" s="20"/>
      <c r="D1564" s="19"/>
      <c r="E1564" s="19"/>
      <c r="F1564" s="19"/>
      <c r="G1564" s="19"/>
    </row>
    <row r="1565">
      <c r="B1565" s="20"/>
      <c r="C1565" s="20"/>
      <c r="D1565" s="19"/>
      <c r="E1565" s="19"/>
      <c r="F1565" s="19"/>
      <c r="G1565" s="19"/>
    </row>
    <row r="1566">
      <c r="B1566" s="20"/>
      <c r="C1566" s="20"/>
      <c r="D1566" s="19"/>
      <c r="E1566" s="19"/>
      <c r="F1566" s="19"/>
      <c r="G1566" s="19"/>
    </row>
    <row r="1567">
      <c r="B1567" s="20"/>
      <c r="C1567" s="20"/>
      <c r="D1567" s="19"/>
      <c r="E1567" s="19"/>
      <c r="F1567" s="19"/>
      <c r="G1567" s="19"/>
    </row>
    <row r="1568">
      <c r="B1568" s="20"/>
      <c r="C1568" s="20"/>
      <c r="D1568" s="19"/>
      <c r="E1568" s="19"/>
      <c r="F1568" s="19"/>
      <c r="G1568" s="19"/>
    </row>
    <row r="1569">
      <c r="B1569" s="20"/>
      <c r="C1569" s="20"/>
      <c r="D1569" s="19"/>
      <c r="E1569" s="19"/>
      <c r="F1569" s="19"/>
      <c r="G1569" s="19"/>
    </row>
    <row r="1570">
      <c r="B1570" s="20"/>
      <c r="C1570" s="20"/>
      <c r="D1570" s="19"/>
      <c r="E1570" s="19"/>
      <c r="F1570" s="19"/>
      <c r="G1570" s="19"/>
    </row>
    <row r="1571">
      <c r="B1571" s="20"/>
      <c r="C1571" s="20"/>
      <c r="D1571" s="19"/>
      <c r="E1571" s="19"/>
      <c r="F1571" s="19"/>
      <c r="G1571" s="19"/>
    </row>
    <row r="1572">
      <c r="B1572" s="20"/>
      <c r="C1572" s="20"/>
      <c r="D1572" s="19"/>
      <c r="E1572" s="19"/>
      <c r="F1572" s="19"/>
      <c r="G1572" s="19"/>
    </row>
    <row r="1573">
      <c r="B1573" s="20"/>
      <c r="C1573" s="20"/>
      <c r="D1573" s="19"/>
      <c r="E1573" s="19"/>
      <c r="F1573" s="19"/>
      <c r="G1573" s="19"/>
    </row>
    <row r="1574">
      <c r="B1574" s="20"/>
      <c r="C1574" s="20"/>
      <c r="D1574" s="19"/>
      <c r="E1574" s="19"/>
      <c r="F1574" s="19"/>
      <c r="G1574" s="19"/>
    </row>
    <row r="1575">
      <c r="B1575" s="20"/>
      <c r="C1575" s="20"/>
      <c r="D1575" s="19"/>
      <c r="E1575" s="19"/>
      <c r="F1575" s="19"/>
      <c r="G1575" s="19"/>
    </row>
    <row r="1576">
      <c r="B1576" s="20"/>
      <c r="C1576" s="20"/>
      <c r="D1576" s="19"/>
      <c r="E1576" s="19"/>
      <c r="F1576" s="19"/>
      <c r="G1576" s="19"/>
    </row>
    <row r="1577">
      <c r="B1577" s="20"/>
      <c r="C1577" s="20"/>
      <c r="D1577" s="19"/>
      <c r="E1577" s="19"/>
      <c r="F1577" s="19"/>
      <c r="G1577" s="19"/>
    </row>
    <row r="1578">
      <c r="B1578" s="20"/>
      <c r="C1578" s="20"/>
      <c r="D1578" s="19"/>
      <c r="E1578" s="19"/>
      <c r="F1578" s="19"/>
      <c r="G1578" s="19"/>
    </row>
    <row r="1579">
      <c r="B1579" s="20"/>
      <c r="C1579" s="20"/>
      <c r="D1579" s="19"/>
      <c r="E1579" s="19"/>
      <c r="F1579" s="19"/>
      <c r="G1579" s="19"/>
    </row>
    <row r="1580">
      <c r="B1580" s="20"/>
      <c r="C1580" s="20"/>
      <c r="D1580" s="19"/>
      <c r="E1580" s="19"/>
      <c r="F1580" s="19"/>
      <c r="G1580" s="19"/>
    </row>
    <row r="1581">
      <c r="B1581" s="20"/>
      <c r="C1581" s="20"/>
      <c r="D1581" s="19"/>
      <c r="E1581" s="19"/>
      <c r="F1581" s="19"/>
      <c r="G1581" s="19"/>
    </row>
    <row r="1582">
      <c r="B1582" s="20"/>
      <c r="C1582" s="20"/>
      <c r="D1582" s="19"/>
      <c r="E1582" s="19"/>
      <c r="F1582" s="19"/>
      <c r="G1582" s="19"/>
    </row>
    <row r="1583">
      <c r="B1583" s="20"/>
      <c r="C1583" s="20"/>
      <c r="D1583" s="19"/>
      <c r="E1583" s="19"/>
      <c r="F1583" s="19"/>
      <c r="G1583" s="19"/>
    </row>
    <row r="1584">
      <c r="B1584" s="20"/>
      <c r="C1584" s="20"/>
      <c r="D1584" s="19"/>
      <c r="E1584" s="19"/>
      <c r="F1584" s="19"/>
      <c r="G1584" s="19"/>
    </row>
    <row r="1585">
      <c r="B1585" s="20"/>
      <c r="C1585" s="20"/>
      <c r="D1585" s="19"/>
      <c r="E1585" s="19"/>
      <c r="F1585" s="19"/>
      <c r="G1585" s="19"/>
    </row>
    <row r="1586">
      <c r="B1586" s="20"/>
      <c r="C1586" s="20"/>
      <c r="D1586" s="19"/>
      <c r="E1586" s="19"/>
      <c r="F1586" s="19"/>
      <c r="G1586" s="19"/>
    </row>
    <row r="1587">
      <c r="B1587" s="20"/>
      <c r="C1587" s="20"/>
      <c r="D1587" s="19"/>
      <c r="E1587" s="19"/>
      <c r="F1587" s="19"/>
      <c r="G1587" s="19"/>
    </row>
    <row r="1588">
      <c r="B1588" s="20"/>
      <c r="C1588" s="20"/>
      <c r="D1588" s="19"/>
      <c r="E1588" s="19"/>
      <c r="F1588" s="19"/>
      <c r="G1588" s="19"/>
    </row>
    <row r="1589">
      <c r="B1589" s="20"/>
      <c r="C1589" s="20"/>
      <c r="D1589" s="19"/>
      <c r="E1589" s="19"/>
      <c r="F1589" s="19"/>
      <c r="G1589" s="19"/>
    </row>
    <row r="1590">
      <c r="B1590" s="20"/>
      <c r="C1590" s="20"/>
      <c r="D1590" s="19"/>
      <c r="E1590" s="19"/>
      <c r="F1590" s="19"/>
      <c r="G1590" s="19"/>
    </row>
    <row r="1591">
      <c r="B1591" s="20"/>
      <c r="C1591" s="20"/>
      <c r="D1591" s="19"/>
      <c r="E1591" s="19"/>
      <c r="F1591" s="19"/>
      <c r="G1591" s="19"/>
    </row>
    <row r="1592">
      <c r="B1592" s="20"/>
      <c r="C1592" s="20"/>
      <c r="D1592" s="19"/>
      <c r="E1592" s="19"/>
      <c r="F1592" s="19"/>
      <c r="G1592" s="19"/>
    </row>
    <row r="1593">
      <c r="B1593" s="20"/>
      <c r="C1593" s="20"/>
      <c r="D1593" s="19"/>
      <c r="E1593" s="19"/>
      <c r="F1593" s="19"/>
      <c r="G1593" s="19"/>
    </row>
    <row r="1594">
      <c r="B1594" s="20"/>
      <c r="C1594" s="20"/>
      <c r="D1594" s="19"/>
      <c r="E1594" s="19"/>
      <c r="F1594" s="19"/>
      <c r="G1594" s="19"/>
    </row>
    <row r="1595">
      <c r="B1595" s="20"/>
      <c r="C1595" s="20"/>
      <c r="D1595" s="19"/>
      <c r="E1595" s="19"/>
      <c r="F1595" s="19"/>
      <c r="G1595" s="19"/>
    </row>
    <row r="1596">
      <c r="B1596" s="20"/>
      <c r="C1596" s="20"/>
      <c r="D1596" s="19"/>
      <c r="E1596" s="19"/>
      <c r="F1596" s="19"/>
      <c r="G1596" s="19"/>
    </row>
    <row r="1597">
      <c r="B1597" s="20"/>
      <c r="C1597" s="20"/>
      <c r="D1597" s="19"/>
      <c r="E1597" s="19"/>
      <c r="F1597" s="19"/>
      <c r="G1597" s="19"/>
    </row>
    <row r="1598">
      <c r="B1598" s="20"/>
      <c r="C1598" s="20"/>
      <c r="D1598" s="19"/>
      <c r="E1598" s="19"/>
      <c r="F1598" s="19"/>
      <c r="G1598" s="19"/>
    </row>
    <row r="1599">
      <c r="B1599" s="20"/>
      <c r="C1599" s="20"/>
      <c r="D1599" s="19"/>
      <c r="E1599" s="19"/>
      <c r="F1599" s="19"/>
      <c r="G1599" s="19"/>
    </row>
    <row r="1600">
      <c r="B1600" s="20"/>
      <c r="C1600" s="20"/>
      <c r="D1600" s="19"/>
      <c r="E1600" s="19"/>
      <c r="F1600" s="19"/>
      <c r="G1600" s="19"/>
    </row>
    <row r="1601">
      <c r="B1601" s="20"/>
      <c r="C1601" s="20"/>
      <c r="D1601" s="19"/>
      <c r="E1601" s="19"/>
      <c r="F1601" s="19"/>
      <c r="G1601" s="19"/>
    </row>
    <row r="1602">
      <c r="B1602" s="20"/>
      <c r="C1602" s="20"/>
      <c r="D1602" s="19"/>
      <c r="E1602" s="19"/>
      <c r="F1602" s="19"/>
      <c r="G1602" s="19"/>
    </row>
    <row r="1603">
      <c r="B1603" s="20"/>
      <c r="C1603" s="20"/>
      <c r="D1603" s="19"/>
      <c r="E1603" s="19"/>
      <c r="F1603" s="19"/>
      <c r="G1603" s="19"/>
    </row>
    <row r="1604">
      <c r="B1604" s="20"/>
      <c r="C1604" s="20"/>
      <c r="D1604" s="19"/>
      <c r="E1604" s="19"/>
      <c r="F1604" s="19"/>
      <c r="G1604" s="19"/>
    </row>
    <row r="1605">
      <c r="B1605" s="20"/>
      <c r="C1605" s="20"/>
      <c r="D1605" s="19"/>
      <c r="E1605" s="19"/>
      <c r="F1605" s="19"/>
      <c r="G1605" s="19"/>
    </row>
    <row r="1606">
      <c r="B1606" s="20"/>
      <c r="C1606" s="20"/>
      <c r="D1606" s="19"/>
      <c r="E1606" s="19"/>
      <c r="F1606" s="19"/>
      <c r="G1606" s="19"/>
    </row>
    <row r="1607">
      <c r="B1607" s="20"/>
      <c r="C1607" s="20"/>
      <c r="D1607" s="19"/>
      <c r="E1607" s="19"/>
      <c r="F1607" s="19"/>
      <c r="G1607" s="19"/>
    </row>
    <row r="1608">
      <c r="B1608" s="20"/>
      <c r="C1608" s="20"/>
      <c r="D1608" s="19"/>
      <c r="E1608" s="19"/>
      <c r="F1608" s="19"/>
      <c r="G1608" s="19"/>
    </row>
    <row r="1609">
      <c r="B1609" s="20"/>
      <c r="C1609" s="20"/>
      <c r="D1609" s="19"/>
      <c r="E1609" s="19"/>
      <c r="F1609" s="19"/>
      <c r="G1609" s="19"/>
    </row>
    <row r="1610">
      <c r="B1610" s="20"/>
      <c r="C1610" s="20"/>
      <c r="D1610" s="19"/>
      <c r="E1610" s="19"/>
      <c r="F1610" s="19"/>
      <c r="G1610" s="19"/>
    </row>
    <row r="1611">
      <c r="B1611" s="20"/>
      <c r="C1611" s="20"/>
      <c r="D1611" s="19"/>
      <c r="E1611" s="19"/>
      <c r="F1611" s="19"/>
      <c r="G1611" s="19"/>
    </row>
    <row r="1612">
      <c r="B1612" s="20"/>
      <c r="C1612" s="20"/>
      <c r="D1612" s="19"/>
      <c r="E1612" s="19"/>
      <c r="F1612" s="19"/>
      <c r="G1612" s="19"/>
    </row>
    <row r="1613">
      <c r="B1613" s="20"/>
      <c r="C1613" s="20"/>
      <c r="D1613" s="19"/>
      <c r="E1613" s="19"/>
      <c r="F1613" s="19"/>
      <c r="G1613" s="19"/>
    </row>
    <row r="1614">
      <c r="B1614" s="20"/>
      <c r="C1614" s="20"/>
      <c r="D1614" s="19"/>
      <c r="E1614" s="19"/>
      <c r="F1614" s="19"/>
      <c r="G1614" s="19"/>
    </row>
    <row r="1615">
      <c r="B1615" s="20"/>
      <c r="C1615" s="20"/>
      <c r="D1615" s="19"/>
      <c r="E1615" s="19"/>
      <c r="F1615" s="19"/>
      <c r="G1615" s="19"/>
    </row>
    <row r="1616">
      <c r="B1616" s="20"/>
      <c r="C1616" s="20"/>
      <c r="D1616" s="19"/>
      <c r="E1616" s="19"/>
      <c r="F1616" s="19"/>
      <c r="G1616" s="19"/>
    </row>
    <row r="1617">
      <c r="B1617" s="20"/>
      <c r="C1617" s="20"/>
      <c r="D1617" s="19"/>
      <c r="E1617" s="19"/>
      <c r="F1617" s="19"/>
      <c r="G1617" s="19"/>
    </row>
    <row r="1618">
      <c r="B1618" s="20"/>
      <c r="C1618" s="20"/>
      <c r="D1618" s="19"/>
      <c r="E1618" s="19"/>
      <c r="F1618" s="19"/>
      <c r="G1618" s="19"/>
    </row>
    <row r="1619">
      <c r="B1619" s="20"/>
      <c r="C1619" s="20"/>
      <c r="D1619" s="19"/>
      <c r="E1619" s="19"/>
      <c r="F1619" s="19"/>
      <c r="G1619" s="19"/>
    </row>
    <row r="1620">
      <c r="B1620" s="20"/>
      <c r="C1620" s="20"/>
      <c r="D1620" s="19"/>
      <c r="E1620" s="19"/>
      <c r="F1620" s="19"/>
      <c r="G1620" s="19"/>
    </row>
    <row r="1621">
      <c r="B1621" s="20"/>
      <c r="C1621" s="20"/>
      <c r="D1621" s="19"/>
      <c r="E1621" s="19"/>
      <c r="F1621" s="19"/>
      <c r="G1621" s="19"/>
    </row>
    <row r="1622">
      <c r="B1622" s="20"/>
      <c r="C1622" s="20"/>
      <c r="D1622" s="19"/>
      <c r="E1622" s="19"/>
      <c r="F1622" s="19"/>
      <c r="G1622" s="19"/>
    </row>
    <row r="1623">
      <c r="B1623" s="20"/>
      <c r="C1623" s="20"/>
      <c r="D1623" s="19"/>
      <c r="E1623" s="19"/>
      <c r="F1623" s="19"/>
      <c r="G1623" s="19"/>
    </row>
    <row r="1624">
      <c r="B1624" s="20"/>
      <c r="C1624" s="20"/>
      <c r="D1624" s="19"/>
      <c r="E1624" s="19"/>
      <c r="F1624" s="19"/>
      <c r="G1624" s="19"/>
    </row>
    <row r="1625">
      <c r="B1625" s="20"/>
      <c r="C1625" s="20"/>
      <c r="D1625" s="19"/>
      <c r="E1625" s="19"/>
      <c r="F1625" s="19"/>
      <c r="G1625" s="19"/>
    </row>
    <row r="1626">
      <c r="B1626" s="20"/>
      <c r="C1626" s="20"/>
      <c r="D1626" s="19"/>
      <c r="E1626" s="19"/>
      <c r="F1626" s="19"/>
      <c r="G1626" s="19"/>
    </row>
    <row r="1627">
      <c r="B1627" s="20"/>
      <c r="C1627" s="20"/>
      <c r="D1627" s="19"/>
      <c r="E1627" s="19"/>
      <c r="F1627" s="19"/>
      <c r="G1627" s="19"/>
    </row>
    <row r="1628">
      <c r="B1628" s="20"/>
      <c r="C1628" s="20"/>
      <c r="D1628" s="19"/>
      <c r="E1628" s="19"/>
      <c r="F1628" s="19"/>
      <c r="G1628" s="19"/>
    </row>
    <row r="1629">
      <c r="B1629" s="20"/>
      <c r="C1629" s="20"/>
      <c r="D1629" s="19"/>
      <c r="E1629" s="19"/>
      <c r="F1629" s="19"/>
      <c r="G1629" s="19"/>
    </row>
    <row r="1630">
      <c r="B1630" s="20"/>
      <c r="C1630" s="20"/>
      <c r="D1630" s="19"/>
      <c r="E1630" s="19"/>
      <c r="F1630" s="19"/>
      <c r="G1630" s="19"/>
    </row>
    <row r="1631">
      <c r="B1631" s="20"/>
      <c r="C1631" s="20"/>
      <c r="D1631" s="19"/>
      <c r="E1631" s="19"/>
      <c r="F1631" s="19"/>
      <c r="G1631" s="19"/>
    </row>
    <row r="1632">
      <c r="B1632" s="20"/>
      <c r="C1632" s="20"/>
      <c r="D1632" s="19"/>
      <c r="E1632" s="19"/>
      <c r="F1632" s="19"/>
      <c r="G1632" s="19"/>
    </row>
    <row r="1633">
      <c r="B1633" s="20"/>
      <c r="C1633" s="20"/>
      <c r="D1633" s="19"/>
      <c r="E1633" s="19"/>
      <c r="F1633" s="19"/>
      <c r="G1633" s="19"/>
    </row>
    <row r="1634">
      <c r="B1634" s="20"/>
      <c r="C1634" s="20"/>
      <c r="D1634" s="19"/>
      <c r="E1634" s="19"/>
      <c r="F1634" s="19"/>
      <c r="G1634" s="19"/>
    </row>
    <row r="1635">
      <c r="B1635" s="20"/>
      <c r="C1635" s="20"/>
      <c r="D1635" s="19"/>
      <c r="E1635" s="19"/>
      <c r="F1635" s="19"/>
      <c r="G1635" s="19"/>
    </row>
    <row r="1636">
      <c r="B1636" s="20"/>
      <c r="C1636" s="20"/>
      <c r="D1636" s="19"/>
      <c r="E1636" s="19"/>
      <c r="F1636" s="19"/>
      <c r="G1636" s="19"/>
    </row>
    <row r="1637">
      <c r="B1637" s="20"/>
      <c r="C1637" s="20"/>
      <c r="D1637" s="19"/>
      <c r="E1637" s="19"/>
      <c r="F1637" s="19"/>
      <c r="G1637" s="19"/>
    </row>
    <row r="1638">
      <c r="B1638" s="20"/>
      <c r="C1638" s="20"/>
      <c r="D1638" s="19"/>
      <c r="E1638" s="19"/>
      <c r="F1638" s="19"/>
      <c r="G1638" s="19"/>
    </row>
    <row r="1639">
      <c r="B1639" s="20"/>
      <c r="C1639" s="20"/>
      <c r="D1639" s="19"/>
      <c r="E1639" s="19"/>
      <c r="F1639" s="19"/>
      <c r="G1639" s="19"/>
    </row>
    <row r="1640">
      <c r="B1640" s="20"/>
      <c r="C1640" s="20"/>
      <c r="D1640" s="19"/>
      <c r="E1640" s="19"/>
      <c r="F1640" s="19"/>
      <c r="G1640" s="19"/>
    </row>
    <row r="1641">
      <c r="B1641" s="20"/>
      <c r="C1641" s="20"/>
      <c r="D1641" s="19"/>
      <c r="E1641" s="19"/>
      <c r="F1641" s="19"/>
      <c r="G1641" s="19"/>
    </row>
    <row r="1642">
      <c r="B1642" s="20"/>
      <c r="C1642" s="20"/>
      <c r="D1642" s="19"/>
      <c r="E1642" s="19"/>
      <c r="F1642" s="19"/>
      <c r="G1642" s="19"/>
    </row>
    <row r="1643">
      <c r="B1643" s="20"/>
      <c r="C1643" s="20"/>
      <c r="D1643" s="19"/>
      <c r="E1643" s="19"/>
      <c r="F1643" s="19"/>
      <c r="G1643" s="19"/>
    </row>
    <row r="1644">
      <c r="B1644" s="20"/>
      <c r="C1644" s="20"/>
      <c r="D1644" s="19"/>
      <c r="E1644" s="19"/>
      <c r="F1644" s="19"/>
      <c r="G1644" s="19"/>
    </row>
    <row r="1645">
      <c r="B1645" s="20"/>
      <c r="C1645" s="20"/>
      <c r="D1645" s="19"/>
      <c r="E1645" s="19"/>
      <c r="F1645" s="19"/>
      <c r="G1645" s="19"/>
    </row>
    <row r="1646">
      <c r="B1646" s="20"/>
      <c r="C1646" s="20"/>
      <c r="D1646" s="19"/>
      <c r="E1646" s="19"/>
      <c r="F1646" s="19"/>
      <c r="G1646" s="19"/>
    </row>
    <row r="1647">
      <c r="B1647" s="20"/>
      <c r="C1647" s="20"/>
      <c r="D1647" s="19"/>
      <c r="E1647" s="19"/>
      <c r="F1647" s="19"/>
      <c r="G1647" s="19"/>
    </row>
    <row r="1648">
      <c r="B1648" s="20"/>
      <c r="C1648" s="20"/>
      <c r="D1648" s="19"/>
      <c r="E1648" s="19"/>
      <c r="F1648" s="19"/>
      <c r="G1648" s="19"/>
    </row>
    <row r="1649">
      <c r="B1649" s="20"/>
      <c r="C1649" s="20"/>
      <c r="D1649" s="19"/>
      <c r="E1649" s="19"/>
      <c r="F1649" s="19"/>
      <c r="G1649" s="19"/>
    </row>
    <row r="1650">
      <c r="B1650" s="20"/>
      <c r="C1650" s="20"/>
      <c r="D1650" s="19"/>
      <c r="E1650" s="19"/>
      <c r="F1650" s="19"/>
      <c r="G1650" s="19"/>
    </row>
    <row r="1651">
      <c r="B1651" s="20"/>
      <c r="C1651" s="20"/>
      <c r="D1651" s="19"/>
      <c r="E1651" s="19"/>
      <c r="F1651" s="19"/>
      <c r="G1651" s="19"/>
    </row>
    <row r="1652">
      <c r="B1652" s="20"/>
      <c r="C1652" s="20"/>
      <c r="D1652" s="19"/>
      <c r="E1652" s="19"/>
      <c r="F1652" s="19"/>
      <c r="G1652" s="19"/>
    </row>
    <row r="1653">
      <c r="B1653" s="20"/>
      <c r="C1653" s="20"/>
      <c r="D1653" s="19"/>
      <c r="E1653" s="19"/>
      <c r="F1653" s="19"/>
      <c r="G1653" s="19"/>
    </row>
    <row r="1654">
      <c r="B1654" s="20"/>
      <c r="C1654" s="20"/>
      <c r="D1654" s="19"/>
      <c r="E1654" s="19"/>
      <c r="F1654" s="19"/>
      <c r="G1654" s="19"/>
    </row>
    <row r="1655">
      <c r="B1655" s="20"/>
      <c r="C1655" s="20"/>
      <c r="D1655" s="19"/>
      <c r="E1655" s="19"/>
      <c r="F1655" s="19"/>
      <c r="G1655" s="19"/>
    </row>
    <row r="1656">
      <c r="B1656" s="20"/>
      <c r="C1656" s="20"/>
      <c r="D1656" s="19"/>
      <c r="E1656" s="19"/>
      <c r="F1656" s="19"/>
      <c r="G1656" s="19"/>
    </row>
    <row r="1657">
      <c r="B1657" s="20"/>
      <c r="C1657" s="20"/>
      <c r="D1657" s="19"/>
      <c r="E1657" s="19"/>
      <c r="F1657" s="19"/>
      <c r="G1657" s="19"/>
    </row>
    <row r="1658">
      <c r="B1658" s="20"/>
      <c r="C1658" s="20"/>
      <c r="D1658" s="19"/>
      <c r="E1658" s="19"/>
      <c r="F1658" s="19"/>
      <c r="G1658" s="19"/>
    </row>
    <row r="1659">
      <c r="B1659" s="20"/>
      <c r="C1659" s="20"/>
      <c r="D1659" s="19"/>
      <c r="E1659" s="19"/>
      <c r="F1659" s="19"/>
      <c r="G1659" s="19"/>
    </row>
    <row r="1660">
      <c r="B1660" s="20"/>
      <c r="C1660" s="20"/>
      <c r="D1660" s="19"/>
      <c r="E1660" s="19"/>
      <c r="F1660" s="19"/>
      <c r="G1660" s="19"/>
    </row>
    <row r="1661">
      <c r="B1661" s="20"/>
      <c r="C1661" s="20"/>
      <c r="D1661" s="19"/>
      <c r="E1661" s="19"/>
      <c r="F1661" s="19"/>
      <c r="G1661" s="19"/>
    </row>
    <row r="1662">
      <c r="B1662" s="20"/>
      <c r="C1662" s="20"/>
      <c r="D1662" s="19"/>
      <c r="E1662" s="19"/>
      <c r="F1662" s="19"/>
      <c r="G1662" s="19"/>
    </row>
    <row r="1663">
      <c r="B1663" s="20"/>
      <c r="C1663" s="20"/>
      <c r="D1663" s="19"/>
      <c r="E1663" s="19"/>
      <c r="F1663" s="19"/>
      <c r="G1663" s="19"/>
    </row>
    <row r="1664">
      <c r="B1664" s="20"/>
      <c r="C1664" s="20"/>
      <c r="D1664" s="19"/>
      <c r="E1664" s="19"/>
      <c r="F1664" s="19"/>
      <c r="G1664" s="19"/>
    </row>
    <row r="1665">
      <c r="B1665" s="20"/>
      <c r="C1665" s="20"/>
      <c r="D1665" s="19"/>
      <c r="E1665" s="19"/>
      <c r="F1665" s="19"/>
      <c r="G1665" s="19"/>
    </row>
    <row r="1666">
      <c r="B1666" s="20"/>
      <c r="C1666" s="20"/>
      <c r="D1666" s="19"/>
      <c r="E1666" s="19"/>
      <c r="F1666" s="19"/>
      <c r="G1666" s="19"/>
    </row>
    <row r="1667">
      <c r="B1667" s="20"/>
      <c r="C1667" s="20"/>
      <c r="D1667" s="19"/>
      <c r="E1667" s="19"/>
      <c r="F1667" s="19"/>
      <c r="G1667" s="19"/>
    </row>
    <row r="1668">
      <c r="B1668" s="20"/>
      <c r="C1668" s="20"/>
      <c r="D1668" s="19"/>
      <c r="E1668" s="19"/>
      <c r="F1668" s="19"/>
      <c r="G1668" s="19"/>
    </row>
    <row r="1669">
      <c r="B1669" s="20"/>
      <c r="C1669" s="20"/>
      <c r="D1669" s="19"/>
      <c r="E1669" s="19"/>
      <c r="F1669" s="19"/>
      <c r="G1669" s="19"/>
    </row>
    <row r="1670">
      <c r="B1670" s="20"/>
      <c r="C1670" s="20"/>
      <c r="D1670" s="19"/>
      <c r="E1670" s="19"/>
      <c r="F1670" s="19"/>
      <c r="G1670" s="19"/>
    </row>
    <row r="1671">
      <c r="B1671" s="20"/>
      <c r="C1671" s="20"/>
      <c r="D1671" s="19"/>
      <c r="E1671" s="19"/>
      <c r="F1671" s="19"/>
      <c r="G1671" s="19"/>
    </row>
    <row r="1672">
      <c r="B1672" s="20"/>
      <c r="C1672" s="20"/>
      <c r="D1672" s="19"/>
      <c r="E1672" s="19"/>
      <c r="F1672" s="19"/>
      <c r="G1672" s="19"/>
    </row>
    <row r="1673">
      <c r="B1673" s="20"/>
      <c r="C1673" s="20"/>
      <c r="D1673" s="19"/>
      <c r="E1673" s="19"/>
      <c r="F1673" s="19"/>
      <c r="G1673" s="19"/>
    </row>
    <row r="1674">
      <c r="B1674" s="20"/>
      <c r="C1674" s="20"/>
      <c r="D1674" s="19"/>
      <c r="E1674" s="19"/>
      <c r="F1674" s="19"/>
      <c r="G1674" s="19"/>
    </row>
    <row r="1675">
      <c r="B1675" s="20"/>
      <c r="C1675" s="20"/>
      <c r="D1675" s="19"/>
      <c r="E1675" s="19"/>
      <c r="F1675" s="19"/>
      <c r="G1675" s="19"/>
    </row>
    <row r="1676">
      <c r="B1676" s="20"/>
      <c r="C1676" s="20"/>
      <c r="D1676" s="19"/>
      <c r="E1676" s="19"/>
      <c r="F1676" s="19"/>
      <c r="G1676" s="19"/>
    </row>
    <row r="1677">
      <c r="B1677" s="20"/>
      <c r="C1677" s="20"/>
      <c r="D1677" s="19"/>
      <c r="E1677" s="19"/>
      <c r="F1677" s="19"/>
      <c r="G1677" s="19"/>
    </row>
    <row r="1678">
      <c r="B1678" s="20"/>
      <c r="C1678" s="20"/>
      <c r="D1678" s="19"/>
      <c r="E1678" s="19"/>
      <c r="F1678" s="19"/>
      <c r="G1678" s="19"/>
    </row>
    <row r="1679">
      <c r="B1679" s="20"/>
      <c r="C1679" s="20"/>
      <c r="D1679" s="19"/>
      <c r="E1679" s="19"/>
      <c r="F1679" s="19"/>
      <c r="G1679" s="19"/>
    </row>
    <row r="1680">
      <c r="B1680" s="20"/>
      <c r="C1680" s="20"/>
      <c r="D1680" s="19"/>
      <c r="E1680" s="19"/>
      <c r="F1680" s="19"/>
      <c r="G1680" s="19"/>
    </row>
    <row r="1681">
      <c r="B1681" s="20"/>
      <c r="C1681" s="20"/>
      <c r="D1681" s="19"/>
      <c r="E1681" s="19"/>
      <c r="F1681" s="19"/>
      <c r="G1681" s="19"/>
    </row>
    <row r="1682">
      <c r="B1682" s="20"/>
      <c r="C1682" s="20"/>
      <c r="D1682" s="19"/>
      <c r="E1682" s="19"/>
      <c r="F1682" s="19"/>
      <c r="G1682" s="19"/>
    </row>
    <row r="1683">
      <c r="B1683" s="20"/>
      <c r="C1683" s="20"/>
      <c r="D1683" s="19"/>
      <c r="E1683" s="19"/>
      <c r="F1683" s="19"/>
      <c r="G1683" s="19"/>
    </row>
    <row r="1684">
      <c r="B1684" s="20"/>
      <c r="C1684" s="20"/>
      <c r="D1684" s="19"/>
      <c r="E1684" s="19"/>
      <c r="F1684" s="19"/>
      <c r="G1684" s="19"/>
    </row>
    <row r="1685">
      <c r="B1685" s="20"/>
      <c r="C1685" s="20"/>
      <c r="D1685" s="19"/>
      <c r="E1685" s="19"/>
      <c r="F1685" s="19"/>
      <c r="G1685" s="19"/>
    </row>
    <row r="1686">
      <c r="B1686" s="20"/>
      <c r="C1686" s="20"/>
      <c r="D1686" s="19"/>
      <c r="E1686" s="19"/>
      <c r="F1686" s="19"/>
      <c r="G1686" s="19"/>
    </row>
    <row r="1687">
      <c r="B1687" s="20"/>
      <c r="C1687" s="20"/>
      <c r="D1687" s="19"/>
      <c r="E1687" s="19"/>
      <c r="F1687" s="19"/>
      <c r="G1687" s="19"/>
    </row>
    <row r="1688">
      <c r="B1688" s="20"/>
      <c r="C1688" s="20"/>
      <c r="D1688" s="19"/>
      <c r="E1688" s="19"/>
      <c r="F1688" s="19"/>
      <c r="G1688" s="19"/>
    </row>
    <row r="1689">
      <c r="B1689" s="20"/>
      <c r="C1689" s="20"/>
      <c r="D1689" s="19"/>
      <c r="E1689" s="19"/>
      <c r="F1689" s="19"/>
      <c r="G1689" s="19"/>
    </row>
    <row r="1690">
      <c r="B1690" s="20"/>
      <c r="C1690" s="20"/>
      <c r="D1690" s="19"/>
      <c r="E1690" s="19"/>
      <c r="F1690" s="19"/>
      <c r="G1690" s="19"/>
    </row>
    <row r="1691">
      <c r="B1691" s="20"/>
      <c r="C1691" s="20"/>
      <c r="D1691" s="19"/>
      <c r="E1691" s="19"/>
      <c r="F1691" s="19"/>
      <c r="G1691" s="19"/>
    </row>
    <row r="1692">
      <c r="B1692" s="20"/>
      <c r="C1692" s="20"/>
      <c r="D1692" s="19"/>
      <c r="E1692" s="19"/>
      <c r="F1692" s="19"/>
      <c r="G1692" s="19"/>
    </row>
    <row r="1693">
      <c r="B1693" s="20"/>
      <c r="C1693" s="20"/>
      <c r="D1693" s="19"/>
      <c r="E1693" s="19"/>
      <c r="F1693" s="19"/>
      <c r="G1693" s="19"/>
    </row>
    <row r="1694">
      <c r="B1694" s="20"/>
      <c r="C1694" s="20"/>
      <c r="D1694" s="19"/>
      <c r="E1694" s="19"/>
      <c r="F1694" s="19"/>
      <c r="G1694" s="19"/>
    </row>
    <row r="1695">
      <c r="B1695" s="20"/>
      <c r="C1695" s="20"/>
      <c r="D1695" s="19"/>
      <c r="E1695" s="19"/>
      <c r="F1695" s="19"/>
      <c r="G1695" s="19"/>
    </row>
    <row r="1696">
      <c r="B1696" s="20"/>
      <c r="C1696" s="20"/>
      <c r="D1696" s="19"/>
      <c r="E1696" s="19"/>
      <c r="F1696" s="19"/>
      <c r="G1696" s="19"/>
    </row>
    <row r="1697">
      <c r="B1697" s="20"/>
      <c r="C1697" s="20"/>
      <c r="D1697" s="19"/>
      <c r="E1697" s="19"/>
      <c r="F1697" s="19"/>
      <c r="G1697" s="19"/>
    </row>
    <row r="1698">
      <c r="B1698" s="20"/>
      <c r="C1698" s="20"/>
      <c r="D1698" s="19"/>
      <c r="E1698" s="19"/>
      <c r="F1698" s="19"/>
      <c r="G1698" s="19"/>
    </row>
    <row r="1699">
      <c r="B1699" s="20"/>
      <c r="C1699" s="20"/>
      <c r="D1699" s="19"/>
      <c r="E1699" s="19"/>
      <c r="F1699" s="19"/>
      <c r="G1699" s="19"/>
    </row>
    <row r="1700">
      <c r="B1700" s="20"/>
      <c r="C1700" s="20"/>
      <c r="D1700" s="19"/>
      <c r="E1700" s="19"/>
      <c r="F1700" s="19"/>
      <c r="G1700" s="19"/>
    </row>
    <row r="1701">
      <c r="B1701" s="20"/>
      <c r="C1701" s="20"/>
      <c r="D1701" s="19"/>
      <c r="E1701" s="19"/>
      <c r="F1701" s="19"/>
      <c r="G1701" s="19"/>
    </row>
    <row r="1702">
      <c r="B1702" s="20"/>
      <c r="C1702" s="20"/>
      <c r="D1702" s="19"/>
      <c r="E1702" s="19"/>
      <c r="F1702" s="19"/>
      <c r="G1702" s="19"/>
    </row>
    <row r="1703">
      <c r="B1703" s="20"/>
      <c r="C1703" s="20"/>
      <c r="D1703" s="19"/>
      <c r="E1703" s="19"/>
      <c r="F1703" s="19"/>
      <c r="G1703" s="19"/>
    </row>
    <row r="1704">
      <c r="B1704" s="20"/>
      <c r="C1704" s="20"/>
      <c r="D1704" s="19"/>
      <c r="E1704" s="19"/>
      <c r="F1704" s="19"/>
      <c r="G1704" s="19"/>
    </row>
    <row r="1705">
      <c r="B1705" s="20"/>
      <c r="C1705" s="20"/>
      <c r="D1705" s="19"/>
      <c r="E1705" s="19"/>
      <c r="F1705" s="19"/>
      <c r="G1705" s="19"/>
    </row>
    <row r="1706">
      <c r="B1706" s="20"/>
      <c r="C1706" s="20"/>
      <c r="D1706" s="19"/>
      <c r="E1706" s="19"/>
      <c r="F1706" s="19"/>
      <c r="G1706" s="19"/>
    </row>
    <row r="1707">
      <c r="B1707" s="20"/>
      <c r="C1707" s="20"/>
      <c r="D1707" s="19"/>
      <c r="E1707" s="19"/>
      <c r="F1707" s="19"/>
      <c r="G1707" s="19"/>
    </row>
    <row r="1708">
      <c r="B1708" s="20"/>
      <c r="C1708" s="20"/>
      <c r="D1708" s="19"/>
      <c r="E1708" s="19"/>
      <c r="F1708" s="19"/>
      <c r="G1708" s="19"/>
    </row>
    <row r="1709">
      <c r="B1709" s="20"/>
      <c r="C1709" s="20"/>
      <c r="D1709" s="19"/>
      <c r="E1709" s="19"/>
      <c r="F1709" s="19"/>
      <c r="G1709" s="19"/>
    </row>
    <row r="1710">
      <c r="B1710" s="20"/>
      <c r="C1710" s="20"/>
      <c r="D1710" s="19"/>
      <c r="E1710" s="19"/>
      <c r="F1710" s="19"/>
      <c r="G1710" s="19"/>
    </row>
    <row r="1711">
      <c r="B1711" s="20"/>
      <c r="C1711" s="20"/>
      <c r="D1711" s="19"/>
      <c r="E1711" s="19"/>
      <c r="F1711" s="19"/>
      <c r="G1711" s="19"/>
    </row>
    <row r="1712">
      <c r="B1712" s="20"/>
      <c r="C1712" s="20"/>
      <c r="D1712" s="19"/>
      <c r="E1712" s="19"/>
      <c r="F1712" s="19"/>
      <c r="G1712" s="19"/>
    </row>
    <row r="1713">
      <c r="B1713" s="20"/>
      <c r="C1713" s="20"/>
      <c r="D1713" s="19"/>
      <c r="E1713" s="19"/>
      <c r="F1713" s="19"/>
      <c r="G1713" s="19"/>
    </row>
    <row r="1714">
      <c r="B1714" s="20"/>
      <c r="C1714" s="20"/>
      <c r="D1714" s="19"/>
      <c r="E1714" s="19"/>
      <c r="F1714" s="19"/>
      <c r="G1714" s="19"/>
    </row>
    <row r="1715">
      <c r="B1715" s="20"/>
      <c r="C1715" s="20"/>
      <c r="D1715" s="19"/>
      <c r="E1715" s="19"/>
      <c r="F1715" s="19"/>
      <c r="G1715" s="19"/>
    </row>
    <row r="1716">
      <c r="B1716" s="20"/>
      <c r="C1716" s="20"/>
      <c r="D1716" s="19"/>
      <c r="E1716" s="19"/>
      <c r="F1716" s="19"/>
      <c r="G1716" s="19"/>
    </row>
    <row r="1717">
      <c r="B1717" s="20"/>
      <c r="C1717" s="20"/>
      <c r="D1717" s="19"/>
      <c r="E1717" s="19"/>
      <c r="F1717" s="19"/>
      <c r="G1717" s="19"/>
    </row>
    <row r="1718">
      <c r="B1718" s="20"/>
      <c r="C1718" s="20"/>
      <c r="D1718" s="19"/>
      <c r="E1718" s="19"/>
      <c r="F1718" s="19"/>
      <c r="G1718" s="19"/>
    </row>
    <row r="1719">
      <c r="B1719" s="20"/>
      <c r="C1719" s="20"/>
      <c r="D1719" s="19"/>
      <c r="E1719" s="19"/>
      <c r="F1719" s="19"/>
      <c r="G1719" s="19"/>
    </row>
    <row r="1720">
      <c r="B1720" s="20"/>
      <c r="C1720" s="20"/>
      <c r="D1720" s="19"/>
      <c r="E1720" s="19"/>
      <c r="F1720" s="19"/>
      <c r="G1720" s="19"/>
    </row>
    <row r="1721">
      <c r="B1721" s="20"/>
      <c r="C1721" s="20"/>
      <c r="D1721" s="19"/>
      <c r="E1721" s="19"/>
      <c r="F1721" s="19"/>
      <c r="G1721" s="19"/>
    </row>
    <row r="1722">
      <c r="B1722" s="20"/>
      <c r="C1722" s="20"/>
      <c r="D1722" s="19"/>
      <c r="E1722" s="19"/>
      <c r="F1722" s="19"/>
      <c r="G1722" s="19"/>
    </row>
    <row r="1723">
      <c r="B1723" s="20"/>
      <c r="C1723" s="20"/>
      <c r="D1723" s="19"/>
      <c r="E1723" s="19"/>
      <c r="F1723" s="19"/>
      <c r="G1723" s="19"/>
    </row>
    <row r="1724">
      <c r="B1724" s="20"/>
      <c r="C1724" s="20"/>
      <c r="D1724" s="19"/>
      <c r="E1724" s="19"/>
      <c r="F1724" s="19"/>
      <c r="G1724" s="19"/>
    </row>
    <row r="1725">
      <c r="B1725" s="20"/>
      <c r="C1725" s="20"/>
      <c r="D1725" s="19"/>
      <c r="E1725" s="19"/>
      <c r="F1725" s="19"/>
      <c r="G1725" s="19"/>
    </row>
    <row r="1726">
      <c r="B1726" s="20"/>
      <c r="C1726" s="20"/>
      <c r="D1726" s="19"/>
      <c r="E1726" s="19"/>
      <c r="F1726" s="19"/>
      <c r="G1726" s="19"/>
    </row>
    <row r="1727">
      <c r="B1727" s="20"/>
      <c r="C1727" s="20"/>
      <c r="D1727" s="19"/>
      <c r="E1727" s="19"/>
      <c r="F1727" s="19"/>
      <c r="G1727" s="19"/>
    </row>
    <row r="1728">
      <c r="B1728" s="20"/>
      <c r="C1728" s="20"/>
      <c r="D1728" s="19"/>
      <c r="E1728" s="19"/>
      <c r="F1728" s="19"/>
      <c r="G1728" s="19"/>
    </row>
    <row r="1729">
      <c r="B1729" s="20"/>
      <c r="C1729" s="20"/>
      <c r="D1729" s="19"/>
      <c r="E1729" s="19"/>
      <c r="F1729" s="19"/>
      <c r="G1729" s="19"/>
    </row>
    <row r="1730">
      <c r="B1730" s="20"/>
      <c r="C1730" s="20"/>
      <c r="D1730" s="19"/>
      <c r="E1730" s="19"/>
      <c r="F1730" s="19"/>
      <c r="G1730" s="19"/>
    </row>
    <row r="1731">
      <c r="B1731" s="20"/>
      <c r="C1731" s="20"/>
      <c r="D1731" s="19"/>
      <c r="E1731" s="19"/>
      <c r="F1731" s="19"/>
      <c r="G1731" s="19"/>
    </row>
    <row r="1732">
      <c r="B1732" s="20"/>
      <c r="C1732" s="20"/>
      <c r="D1732" s="19"/>
      <c r="E1732" s="19"/>
      <c r="F1732" s="19"/>
      <c r="G1732" s="19"/>
    </row>
    <row r="1733">
      <c r="B1733" s="20"/>
      <c r="C1733" s="20"/>
      <c r="D1733" s="19"/>
      <c r="E1733" s="19"/>
      <c r="F1733" s="19"/>
      <c r="G1733" s="19"/>
    </row>
    <row r="1734">
      <c r="B1734" s="20"/>
      <c r="C1734" s="20"/>
      <c r="D1734" s="19"/>
      <c r="E1734" s="19"/>
      <c r="F1734" s="19"/>
      <c r="G1734" s="19"/>
    </row>
    <row r="1735">
      <c r="B1735" s="20"/>
      <c r="C1735" s="20"/>
      <c r="D1735" s="19"/>
      <c r="E1735" s="19"/>
      <c r="F1735" s="19"/>
      <c r="G1735" s="19"/>
    </row>
    <row r="1736">
      <c r="B1736" s="20"/>
      <c r="C1736" s="20"/>
      <c r="D1736" s="19"/>
      <c r="E1736" s="19"/>
      <c r="F1736" s="19"/>
      <c r="G1736" s="19"/>
    </row>
    <row r="1737">
      <c r="B1737" s="20"/>
      <c r="C1737" s="20"/>
      <c r="D1737" s="19"/>
      <c r="E1737" s="19"/>
      <c r="F1737" s="19"/>
      <c r="G1737" s="19"/>
    </row>
    <row r="1738">
      <c r="B1738" s="20"/>
      <c r="C1738" s="20"/>
      <c r="D1738" s="19"/>
      <c r="E1738" s="19"/>
      <c r="F1738" s="19"/>
      <c r="G1738" s="19"/>
    </row>
    <row r="1739">
      <c r="B1739" s="20"/>
      <c r="C1739" s="20"/>
      <c r="D1739" s="19"/>
      <c r="E1739" s="19"/>
      <c r="F1739" s="19"/>
      <c r="G1739" s="19"/>
    </row>
    <row r="1740">
      <c r="B1740" s="20"/>
      <c r="C1740" s="20"/>
      <c r="D1740" s="19"/>
      <c r="E1740" s="19"/>
      <c r="F1740" s="19"/>
      <c r="G1740" s="19"/>
    </row>
    <row r="1741">
      <c r="B1741" s="20"/>
      <c r="C1741" s="20"/>
      <c r="D1741" s="19"/>
      <c r="E1741" s="19"/>
      <c r="F1741" s="19"/>
      <c r="G1741" s="19"/>
    </row>
    <row r="1742">
      <c r="B1742" s="20"/>
      <c r="C1742" s="20"/>
      <c r="D1742" s="19"/>
      <c r="E1742" s="19"/>
      <c r="F1742" s="19"/>
      <c r="G1742" s="19"/>
    </row>
    <row r="1743">
      <c r="B1743" s="20"/>
      <c r="C1743" s="20"/>
      <c r="D1743" s="19"/>
      <c r="E1743" s="19"/>
      <c r="F1743" s="19"/>
      <c r="G1743" s="19"/>
    </row>
    <row r="1744">
      <c r="B1744" s="20"/>
      <c r="C1744" s="20"/>
      <c r="D1744" s="19"/>
      <c r="E1744" s="19"/>
      <c r="F1744" s="19"/>
      <c r="G1744" s="19"/>
    </row>
    <row r="1745">
      <c r="B1745" s="20"/>
      <c r="C1745" s="20"/>
      <c r="D1745" s="19"/>
      <c r="E1745" s="19"/>
      <c r="F1745" s="19"/>
      <c r="G1745" s="19"/>
    </row>
    <row r="1746">
      <c r="B1746" s="20"/>
      <c r="C1746" s="20"/>
      <c r="D1746" s="19"/>
      <c r="E1746" s="19"/>
      <c r="F1746" s="19"/>
      <c r="G1746" s="19"/>
    </row>
    <row r="1747">
      <c r="B1747" s="20"/>
      <c r="C1747" s="20"/>
      <c r="D1747" s="19"/>
      <c r="E1747" s="19"/>
      <c r="F1747" s="19"/>
      <c r="G1747" s="19"/>
    </row>
    <row r="1748">
      <c r="B1748" s="20"/>
      <c r="C1748" s="20"/>
      <c r="D1748" s="19"/>
      <c r="E1748" s="19"/>
      <c r="F1748" s="19"/>
      <c r="G1748" s="19"/>
    </row>
    <row r="1749">
      <c r="B1749" s="20"/>
      <c r="C1749" s="20"/>
      <c r="D1749" s="19"/>
      <c r="E1749" s="19"/>
      <c r="F1749" s="19"/>
      <c r="G1749" s="19"/>
    </row>
    <row r="1750">
      <c r="B1750" s="20"/>
      <c r="C1750" s="20"/>
      <c r="D1750" s="19"/>
      <c r="E1750" s="19"/>
      <c r="F1750" s="19"/>
      <c r="G1750" s="19"/>
    </row>
    <row r="1751">
      <c r="B1751" s="20"/>
      <c r="C1751" s="20"/>
      <c r="D1751" s="19"/>
      <c r="E1751" s="19"/>
      <c r="F1751" s="19"/>
      <c r="G1751" s="19"/>
    </row>
    <row r="1752">
      <c r="B1752" s="20"/>
      <c r="C1752" s="20"/>
      <c r="D1752" s="19"/>
      <c r="E1752" s="19"/>
      <c r="F1752" s="19"/>
      <c r="G1752" s="19"/>
    </row>
    <row r="1753">
      <c r="B1753" s="20"/>
      <c r="C1753" s="20"/>
      <c r="D1753" s="19"/>
      <c r="E1753" s="19"/>
      <c r="F1753" s="19"/>
      <c r="G1753" s="19"/>
    </row>
    <row r="1754">
      <c r="B1754" s="20"/>
      <c r="C1754" s="20"/>
      <c r="D1754" s="19"/>
      <c r="E1754" s="19"/>
      <c r="F1754" s="19"/>
      <c r="G1754" s="19"/>
    </row>
    <row r="1755">
      <c r="B1755" s="20"/>
      <c r="C1755" s="20"/>
      <c r="D1755" s="19"/>
      <c r="E1755" s="19"/>
      <c r="F1755" s="19"/>
      <c r="G1755" s="19"/>
    </row>
    <row r="1756">
      <c r="B1756" s="20"/>
      <c r="C1756" s="20"/>
      <c r="D1756" s="19"/>
      <c r="E1756" s="19"/>
      <c r="F1756" s="19"/>
      <c r="G1756" s="19"/>
    </row>
    <row r="1757">
      <c r="B1757" s="20"/>
      <c r="C1757" s="20"/>
      <c r="D1757" s="19"/>
      <c r="E1757" s="19"/>
      <c r="F1757" s="19"/>
      <c r="G1757" s="19"/>
    </row>
    <row r="1758">
      <c r="B1758" s="20"/>
      <c r="C1758" s="20"/>
      <c r="D1758" s="19"/>
      <c r="E1758" s="19"/>
      <c r="F1758" s="19"/>
      <c r="G1758" s="19"/>
    </row>
    <row r="1759">
      <c r="B1759" s="20"/>
      <c r="C1759" s="20"/>
      <c r="D1759" s="19"/>
      <c r="E1759" s="19"/>
      <c r="F1759" s="19"/>
      <c r="G1759" s="19"/>
    </row>
    <row r="1760">
      <c r="B1760" s="20"/>
      <c r="C1760" s="20"/>
      <c r="D1760" s="19"/>
      <c r="E1760" s="19"/>
      <c r="F1760" s="19"/>
      <c r="G1760" s="19"/>
    </row>
    <row r="1761">
      <c r="B1761" s="20"/>
      <c r="C1761" s="20"/>
      <c r="D1761" s="19"/>
      <c r="E1761" s="19"/>
      <c r="F1761" s="19"/>
      <c r="G1761" s="19"/>
    </row>
    <row r="1762">
      <c r="B1762" s="20"/>
      <c r="C1762" s="20"/>
      <c r="D1762" s="19"/>
      <c r="E1762" s="19"/>
      <c r="F1762" s="19"/>
      <c r="G1762" s="19"/>
    </row>
    <row r="1763">
      <c r="B1763" s="20"/>
      <c r="C1763" s="20"/>
      <c r="D1763" s="19"/>
      <c r="E1763" s="19"/>
      <c r="F1763" s="19"/>
      <c r="G1763" s="19"/>
    </row>
    <row r="1764">
      <c r="B1764" s="20"/>
      <c r="C1764" s="20"/>
      <c r="D1764" s="19"/>
      <c r="E1764" s="19"/>
      <c r="F1764" s="19"/>
      <c r="G1764" s="19"/>
    </row>
    <row r="1765">
      <c r="B1765" s="20"/>
      <c r="C1765" s="20"/>
      <c r="D1765" s="19"/>
      <c r="E1765" s="19"/>
      <c r="F1765" s="19"/>
      <c r="G1765" s="19"/>
    </row>
    <row r="1766">
      <c r="B1766" s="20"/>
      <c r="C1766" s="20"/>
      <c r="D1766" s="19"/>
      <c r="E1766" s="19"/>
      <c r="F1766" s="19"/>
      <c r="G1766" s="19"/>
    </row>
    <row r="1767">
      <c r="B1767" s="20"/>
      <c r="C1767" s="20"/>
      <c r="D1767" s="19"/>
      <c r="E1767" s="19"/>
      <c r="F1767" s="19"/>
      <c r="G1767" s="19"/>
    </row>
    <row r="1768">
      <c r="B1768" s="20"/>
      <c r="C1768" s="20"/>
      <c r="D1768" s="19"/>
      <c r="E1768" s="19"/>
      <c r="F1768" s="19"/>
      <c r="G1768" s="19"/>
    </row>
    <row r="1769">
      <c r="B1769" s="20"/>
      <c r="C1769" s="20"/>
      <c r="D1769" s="19"/>
      <c r="E1769" s="19"/>
      <c r="F1769" s="19"/>
      <c r="G1769" s="19"/>
    </row>
    <row r="1770">
      <c r="B1770" s="20"/>
      <c r="C1770" s="20"/>
      <c r="D1770" s="19"/>
      <c r="E1770" s="19"/>
      <c r="F1770" s="19"/>
      <c r="G1770" s="19"/>
    </row>
    <row r="1771">
      <c r="B1771" s="20"/>
      <c r="C1771" s="20"/>
      <c r="D1771" s="19"/>
      <c r="E1771" s="19"/>
      <c r="F1771" s="19"/>
      <c r="G1771" s="19"/>
    </row>
    <row r="1772">
      <c r="B1772" s="20"/>
      <c r="C1772" s="20"/>
      <c r="D1772" s="19"/>
      <c r="E1772" s="19"/>
      <c r="F1772" s="19"/>
      <c r="G1772" s="19"/>
    </row>
    <row r="1773">
      <c r="B1773" s="20"/>
      <c r="C1773" s="20"/>
      <c r="D1773" s="19"/>
      <c r="E1773" s="19"/>
      <c r="F1773" s="19"/>
      <c r="G1773" s="19"/>
    </row>
    <row r="1774">
      <c r="B1774" s="20"/>
      <c r="C1774" s="20"/>
      <c r="D1774" s="19"/>
      <c r="E1774" s="19"/>
      <c r="F1774" s="19"/>
      <c r="G1774" s="19"/>
    </row>
    <row r="1775">
      <c r="B1775" s="20"/>
      <c r="C1775" s="20"/>
      <c r="D1775" s="19"/>
      <c r="E1775" s="19"/>
      <c r="F1775" s="19"/>
      <c r="G1775" s="19"/>
    </row>
    <row r="1776">
      <c r="B1776" s="20"/>
      <c r="C1776" s="20"/>
      <c r="D1776" s="19"/>
      <c r="E1776" s="19"/>
      <c r="F1776" s="19"/>
      <c r="G1776" s="19"/>
    </row>
    <row r="1777">
      <c r="B1777" s="20"/>
      <c r="C1777" s="20"/>
      <c r="D1777" s="19"/>
      <c r="E1777" s="19"/>
      <c r="F1777" s="19"/>
      <c r="G1777" s="19"/>
    </row>
    <row r="1778">
      <c r="B1778" s="20"/>
      <c r="C1778" s="20"/>
      <c r="D1778" s="19"/>
      <c r="E1778" s="19"/>
      <c r="F1778" s="19"/>
      <c r="G1778" s="19"/>
    </row>
    <row r="1779">
      <c r="B1779" s="20"/>
      <c r="C1779" s="20"/>
      <c r="D1779" s="19"/>
      <c r="E1779" s="19"/>
      <c r="F1779" s="19"/>
      <c r="G1779" s="19"/>
    </row>
    <row r="1780">
      <c r="B1780" s="20"/>
      <c r="C1780" s="20"/>
      <c r="D1780" s="19"/>
      <c r="E1780" s="19"/>
      <c r="F1780" s="19"/>
      <c r="G1780" s="19"/>
    </row>
    <row r="1781">
      <c r="B1781" s="20"/>
      <c r="C1781" s="20"/>
      <c r="D1781" s="19"/>
      <c r="E1781" s="19"/>
      <c r="F1781" s="19"/>
      <c r="G1781" s="19"/>
    </row>
    <row r="1782">
      <c r="B1782" s="20"/>
      <c r="C1782" s="20"/>
      <c r="D1782" s="19"/>
      <c r="E1782" s="19"/>
      <c r="F1782" s="19"/>
      <c r="G1782" s="19"/>
    </row>
    <row r="1783">
      <c r="B1783" s="20"/>
      <c r="C1783" s="20"/>
      <c r="D1783" s="19"/>
      <c r="E1783" s="19"/>
      <c r="F1783" s="19"/>
      <c r="G1783" s="19"/>
    </row>
    <row r="1784">
      <c r="B1784" s="20"/>
      <c r="C1784" s="20"/>
      <c r="D1784" s="19"/>
      <c r="E1784" s="19"/>
      <c r="F1784" s="19"/>
      <c r="G1784" s="19"/>
    </row>
    <row r="1785">
      <c r="B1785" s="20"/>
      <c r="C1785" s="20"/>
      <c r="D1785" s="19"/>
      <c r="E1785" s="19"/>
      <c r="F1785" s="19"/>
      <c r="G1785" s="19"/>
    </row>
    <row r="1786">
      <c r="B1786" s="20"/>
      <c r="C1786" s="20"/>
      <c r="D1786" s="19"/>
      <c r="E1786" s="19"/>
      <c r="F1786" s="19"/>
      <c r="G1786" s="19"/>
    </row>
    <row r="1787">
      <c r="B1787" s="20"/>
      <c r="C1787" s="20"/>
      <c r="D1787" s="19"/>
      <c r="E1787" s="19"/>
      <c r="F1787" s="19"/>
      <c r="G1787" s="19"/>
    </row>
    <row r="1788">
      <c r="B1788" s="20"/>
      <c r="C1788" s="20"/>
      <c r="D1788" s="19"/>
      <c r="E1788" s="19"/>
      <c r="F1788" s="19"/>
      <c r="G1788" s="19"/>
    </row>
    <row r="1789">
      <c r="B1789" s="20"/>
      <c r="C1789" s="20"/>
      <c r="D1789" s="19"/>
      <c r="E1789" s="19"/>
      <c r="F1789" s="19"/>
      <c r="G1789" s="19"/>
    </row>
    <row r="1790">
      <c r="B1790" s="20"/>
      <c r="C1790" s="20"/>
      <c r="D1790" s="19"/>
      <c r="E1790" s="19"/>
      <c r="F1790" s="19"/>
      <c r="G1790" s="19"/>
    </row>
    <row r="1791">
      <c r="B1791" s="20"/>
      <c r="C1791" s="20"/>
      <c r="D1791" s="19"/>
      <c r="E1791" s="19"/>
      <c r="F1791" s="19"/>
      <c r="G1791" s="19"/>
    </row>
    <row r="1792">
      <c r="B1792" s="20"/>
      <c r="C1792" s="20"/>
      <c r="D1792" s="19"/>
      <c r="E1792" s="19"/>
      <c r="F1792" s="19"/>
      <c r="G1792" s="19"/>
    </row>
    <row r="1793">
      <c r="B1793" s="20"/>
      <c r="C1793" s="20"/>
      <c r="D1793" s="19"/>
      <c r="E1793" s="19"/>
      <c r="F1793" s="19"/>
      <c r="G1793" s="19"/>
    </row>
    <row r="1794">
      <c r="B1794" s="20"/>
      <c r="C1794" s="20"/>
      <c r="D1794" s="19"/>
      <c r="E1794" s="19"/>
      <c r="F1794" s="19"/>
      <c r="G1794" s="19"/>
    </row>
    <row r="1795">
      <c r="B1795" s="20"/>
      <c r="C1795" s="20"/>
      <c r="D1795" s="19"/>
      <c r="E1795" s="19"/>
      <c r="F1795" s="19"/>
      <c r="G1795" s="19"/>
    </row>
    <row r="1796">
      <c r="B1796" s="20"/>
      <c r="C1796" s="20"/>
      <c r="D1796" s="19"/>
      <c r="E1796" s="19"/>
      <c r="F1796" s="19"/>
      <c r="G1796" s="19"/>
    </row>
    <row r="1797">
      <c r="B1797" s="20"/>
      <c r="C1797" s="20"/>
      <c r="D1797" s="19"/>
      <c r="E1797" s="19"/>
      <c r="F1797" s="19"/>
      <c r="G1797" s="19"/>
    </row>
    <row r="1798">
      <c r="B1798" s="20"/>
      <c r="C1798" s="20"/>
      <c r="D1798" s="19"/>
      <c r="E1798" s="19"/>
      <c r="F1798" s="19"/>
      <c r="G1798" s="19"/>
    </row>
    <row r="1799">
      <c r="B1799" s="20"/>
      <c r="C1799" s="20"/>
      <c r="D1799" s="19"/>
      <c r="E1799" s="19"/>
      <c r="F1799" s="19"/>
      <c r="G1799" s="19"/>
    </row>
    <row r="1800">
      <c r="B1800" s="20"/>
      <c r="C1800" s="20"/>
      <c r="D1800" s="19"/>
      <c r="E1800" s="19"/>
      <c r="F1800" s="19"/>
      <c r="G1800" s="19"/>
    </row>
    <row r="1801">
      <c r="B1801" s="20"/>
      <c r="C1801" s="20"/>
      <c r="D1801" s="19"/>
      <c r="E1801" s="19"/>
      <c r="F1801" s="19"/>
      <c r="G1801" s="19"/>
    </row>
    <row r="1802">
      <c r="B1802" s="20"/>
      <c r="C1802" s="20"/>
      <c r="D1802" s="19"/>
      <c r="E1802" s="19"/>
      <c r="F1802" s="19"/>
      <c r="G1802" s="19"/>
    </row>
    <row r="1803">
      <c r="B1803" s="20"/>
      <c r="C1803" s="20"/>
      <c r="D1803" s="19"/>
      <c r="E1803" s="19"/>
      <c r="F1803" s="19"/>
      <c r="G1803" s="19"/>
    </row>
    <row r="1804">
      <c r="B1804" s="20"/>
      <c r="C1804" s="20"/>
      <c r="D1804" s="19"/>
      <c r="E1804" s="19"/>
      <c r="F1804" s="19"/>
      <c r="G1804" s="19"/>
    </row>
    <row r="1805">
      <c r="B1805" s="20"/>
      <c r="C1805" s="20"/>
      <c r="D1805" s="19"/>
      <c r="E1805" s="19"/>
      <c r="F1805" s="19"/>
      <c r="G1805" s="19"/>
    </row>
    <row r="1806">
      <c r="B1806" s="20"/>
      <c r="C1806" s="20"/>
      <c r="D1806" s="19"/>
      <c r="E1806" s="19"/>
      <c r="F1806" s="19"/>
      <c r="G1806" s="19"/>
    </row>
    <row r="1807">
      <c r="B1807" s="20"/>
      <c r="C1807" s="20"/>
      <c r="D1807" s="19"/>
      <c r="E1807" s="19"/>
      <c r="F1807" s="19"/>
      <c r="G1807" s="19"/>
    </row>
    <row r="1808">
      <c r="B1808" s="20"/>
      <c r="C1808" s="20"/>
      <c r="D1808" s="19"/>
      <c r="E1808" s="19"/>
      <c r="F1808" s="19"/>
      <c r="G1808" s="19"/>
    </row>
    <row r="1809">
      <c r="B1809" s="20"/>
      <c r="C1809" s="20"/>
      <c r="D1809" s="19"/>
      <c r="E1809" s="19"/>
      <c r="F1809" s="19"/>
      <c r="G1809" s="19"/>
    </row>
    <row r="1810">
      <c r="B1810" s="20"/>
      <c r="C1810" s="20"/>
      <c r="D1810" s="19"/>
      <c r="E1810" s="19"/>
      <c r="F1810" s="19"/>
      <c r="G1810" s="19"/>
    </row>
    <row r="1811">
      <c r="B1811" s="20"/>
      <c r="C1811" s="20"/>
      <c r="D1811" s="19"/>
      <c r="E1811" s="19"/>
      <c r="F1811" s="19"/>
      <c r="G1811" s="19"/>
    </row>
    <row r="1812">
      <c r="B1812" s="20"/>
      <c r="C1812" s="20"/>
      <c r="D1812" s="19"/>
      <c r="E1812" s="19"/>
      <c r="F1812" s="19"/>
      <c r="G1812" s="19"/>
    </row>
    <row r="1813">
      <c r="B1813" s="20"/>
      <c r="C1813" s="20"/>
      <c r="D1813" s="19"/>
      <c r="E1813" s="19"/>
      <c r="F1813" s="19"/>
      <c r="G1813" s="19"/>
    </row>
    <row r="1814">
      <c r="B1814" s="20"/>
      <c r="C1814" s="20"/>
      <c r="D1814" s="19"/>
      <c r="E1814" s="19"/>
      <c r="F1814" s="19"/>
      <c r="G1814" s="19"/>
    </row>
    <row r="1815">
      <c r="B1815" s="20"/>
      <c r="C1815" s="20"/>
      <c r="D1815" s="19"/>
      <c r="E1815" s="19"/>
      <c r="F1815" s="19"/>
      <c r="G1815" s="19"/>
    </row>
    <row r="1816">
      <c r="B1816" s="20"/>
      <c r="C1816" s="20"/>
      <c r="D1816" s="19"/>
      <c r="E1816" s="19"/>
      <c r="F1816" s="19"/>
      <c r="G1816" s="19"/>
    </row>
    <row r="1817">
      <c r="B1817" s="20"/>
      <c r="C1817" s="20"/>
      <c r="D1817" s="19"/>
      <c r="E1817" s="19"/>
      <c r="F1817" s="19"/>
      <c r="G1817" s="19"/>
    </row>
    <row r="1818">
      <c r="B1818" s="20"/>
      <c r="C1818" s="20"/>
      <c r="D1818" s="19"/>
      <c r="E1818" s="19"/>
      <c r="F1818" s="19"/>
      <c r="G1818" s="19"/>
    </row>
    <row r="1819">
      <c r="B1819" s="20"/>
      <c r="C1819" s="20"/>
      <c r="D1819" s="19"/>
      <c r="E1819" s="19"/>
      <c r="F1819" s="19"/>
      <c r="G1819" s="19"/>
    </row>
    <row r="1820">
      <c r="B1820" s="20"/>
      <c r="C1820" s="20"/>
      <c r="D1820" s="19"/>
      <c r="E1820" s="19"/>
      <c r="F1820" s="19"/>
      <c r="G1820" s="19"/>
    </row>
    <row r="1821">
      <c r="B1821" s="20"/>
      <c r="C1821" s="20"/>
      <c r="D1821" s="19"/>
      <c r="E1821" s="19"/>
      <c r="F1821" s="19"/>
      <c r="G1821" s="19"/>
    </row>
    <row r="1822">
      <c r="B1822" s="20"/>
      <c r="C1822" s="20"/>
      <c r="D1822" s="19"/>
      <c r="E1822" s="19"/>
      <c r="F1822" s="19"/>
      <c r="G1822" s="19"/>
    </row>
    <row r="1823">
      <c r="B1823" s="20"/>
      <c r="C1823" s="20"/>
      <c r="D1823" s="19"/>
      <c r="E1823" s="19"/>
      <c r="F1823" s="19"/>
      <c r="G1823" s="19"/>
    </row>
    <row r="1824">
      <c r="B1824" s="20"/>
      <c r="C1824" s="20"/>
      <c r="D1824" s="19"/>
      <c r="E1824" s="19"/>
      <c r="F1824" s="19"/>
      <c r="G1824" s="19"/>
    </row>
    <row r="1825">
      <c r="B1825" s="20"/>
      <c r="C1825" s="20"/>
      <c r="D1825" s="19"/>
      <c r="E1825" s="19"/>
      <c r="F1825" s="19"/>
      <c r="G1825" s="19"/>
    </row>
    <row r="1826">
      <c r="B1826" s="20"/>
      <c r="C1826" s="20"/>
      <c r="D1826" s="19"/>
      <c r="E1826" s="19"/>
      <c r="F1826" s="19"/>
      <c r="G1826" s="19"/>
    </row>
    <row r="1827">
      <c r="B1827" s="20"/>
      <c r="C1827" s="20"/>
      <c r="D1827" s="19"/>
      <c r="E1827" s="19"/>
      <c r="F1827" s="19"/>
      <c r="G1827" s="19"/>
    </row>
    <row r="1828">
      <c r="B1828" s="20"/>
      <c r="C1828" s="20"/>
      <c r="D1828" s="19"/>
      <c r="E1828" s="19"/>
      <c r="F1828" s="19"/>
      <c r="G1828" s="19"/>
    </row>
    <row r="1829">
      <c r="B1829" s="20"/>
      <c r="C1829" s="20"/>
      <c r="D1829" s="19"/>
      <c r="E1829" s="19"/>
      <c r="F1829" s="19"/>
      <c r="G1829" s="19"/>
    </row>
    <row r="1830">
      <c r="B1830" s="20"/>
      <c r="C1830" s="20"/>
      <c r="D1830" s="19"/>
      <c r="E1830" s="19"/>
      <c r="F1830" s="19"/>
      <c r="G1830" s="19"/>
    </row>
    <row r="1831">
      <c r="B1831" s="20"/>
      <c r="C1831" s="20"/>
      <c r="D1831" s="19"/>
      <c r="E1831" s="19"/>
      <c r="F1831" s="19"/>
      <c r="G1831" s="19"/>
    </row>
    <row r="1832">
      <c r="B1832" s="20"/>
      <c r="C1832" s="20"/>
      <c r="D1832" s="19"/>
      <c r="E1832" s="19"/>
      <c r="F1832" s="19"/>
      <c r="G1832" s="19"/>
    </row>
    <row r="1833">
      <c r="B1833" s="20"/>
      <c r="C1833" s="20"/>
      <c r="D1833" s="19"/>
      <c r="E1833" s="19"/>
      <c r="F1833" s="19"/>
      <c r="G1833" s="19"/>
    </row>
    <row r="1834">
      <c r="B1834" s="20"/>
      <c r="C1834" s="20"/>
      <c r="D1834" s="19"/>
      <c r="E1834" s="19"/>
      <c r="F1834" s="19"/>
      <c r="G1834" s="19"/>
    </row>
    <row r="1835">
      <c r="B1835" s="20"/>
      <c r="C1835" s="20"/>
      <c r="D1835" s="19"/>
      <c r="E1835" s="19"/>
      <c r="F1835" s="19"/>
      <c r="G1835" s="19"/>
    </row>
    <row r="1836">
      <c r="B1836" s="20"/>
      <c r="C1836" s="20"/>
      <c r="D1836" s="19"/>
      <c r="E1836" s="19"/>
      <c r="F1836" s="19"/>
      <c r="G1836" s="19"/>
    </row>
    <row r="1837">
      <c r="B1837" s="20"/>
      <c r="C1837" s="20"/>
      <c r="D1837" s="19"/>
      <c r="E1837" s="19"/>
      <c r="F1837" s="19"/>
      <c r="G1837" s="19"/>
    </row>
    <row r="1838">
      <c r="B1838" s="20"/>
      <c r="C1838" s="20"/>
      <c r="D1838" s="19"/>
      <c r="E1838" s="19"/>
      <c r="F1838" s="19"/>
      <c r="G1838" s="19"/>
    </row>
    <row r="1839">
      <c r="B1839" s="20"/>
      <c r="C1839" s="20"/>
      <c r="D1839" s="19"/>
      <c r="E1839" s="19"/>
      <c r="F1839" s="19"/>
      <c r="G1839" s="19"/>
    </row>
    <row r="1840">
      <c r="B1840" s="20"/>
      <c r="C1840" s="20"/>
      <c r="D1840" s="19"/>
      <c r="E1840" s="19"/>
      <c r="F1840" s="19"/>
      <c r="G1840" s="19"/>
    </row>
    <row r="1841">
      <c r="B1841" s="20"/>
      <c r="C1841" s="20"/>
      <c r="D1841" s="19"/>
      <c r="E1841" s="19"/>
      <c r="F1841" s="19"/>
      <c r="G1841" s="19"/>
    </row>
    <row r="1842">
      <c r="B1842" s="20"/>
      <c r="C1842" s="20"/>
      <c r="D1842" s="19"/>
      <c r="E1842" s="19"/>
      <c r="F1842" s="19"/>
      <c r="G1842" s="19"/>
    </row>
    <row r="1843">
      <c r="B1843" s="20"/>
      <c r="C1843" s="20"/>
      <c r="D1843" s="19"/>
      <c r="E1843" s="19"/>
      <c r="F1843" s="19"/>
      <c r="G1843" s="19"/>
    </row>
    <row r="1844">
      <c r="B1844" s="20"/>
      <c r="C1844" s="20"/>
      <c r="D1844" s="19"/>
      <c r="E1844" s="19"/>
      <c r="F1844" s="19"/>
      <c r="G1844" s="19"/>
    </row>
    <row r="1845">
      <c r="B1845" s="20"/>
      <c r="C1845" s="20"/>
      <c r="D1845" s="19"/>
      <c r="E1845" s="19"/>
      <c r="F1845" s="19"/>
      <c r="G1845" s="19"/>
    </row>
    <row r="1846">
      <c r="B1846" s="20"/>
      <c r="C1846" s="20"/>
      <c r="D1846" s="19"/>
      <c r="E1846" s="19"/>
      <c r="F1846" s="19"/>
      <c r="G1846" s="19"/>
    </row>
  </sheetData>
  <mergeCells count="5">
    <mergeCell ref="R227:Y227"/>
    <mergeCell ref="B386:B389"/>
    <mergeCell ref="D393:H393"/>
    <mergeCell ref="B400:B403"/>
    <mergeCell ref="D408:H408"/>
  </mergeCells>
  <conditionalFormatting sqref="D386:H389">
    <cfRule type="colorScale" priority="1">
      <colorScale>
        <cfvo type="min"/>
        <cfvo type="max"/>
        <color rgb="FFFFFFFF"/>
        <color rgb="FF0078B8"/>
      </colorScale>
    </cfRule>
  </conditionalFormatting>
  <conditionalFormatting sqref="D400:H404 J400:K404">
    <cfRule type="colorScale" priority="2">
      <colorScale>
        <cfvo type="min"/>
        <cfvo type="max"/>
        <color rgb="FFFFFFFF"/>
        <color rgb="FF0078B8"/>
      </colorScale>
    </cfRule>
  </conditionalFormatting>
  <conditionalFormatting sqref="J386:J389 D391:H391 J400:J404 D406:H406">
    <cfRule type="colorScale" priority="3">
      <colorScale>
        <cfvo type="min"/>
        <cfvo type="max"/>
        <color rgb="FFFFFFFF"/>
        <color rgb="FF0078B8"/>
      </colorScale>
    </cfRule>
  </conditionalFormatting>
  <printOptions gridLines="1" horizontalCentered="1"/>
  <pageMargins bottom="0.75" footer="0.0" header="0.0" left="0.7" right="0.7" top="0.75"/>
  <pageSetup fitToHeight="0" paperSize="9" cellComments="atEnd" orientation="landscape" pageOrder="overThenDown"/>
  <drawing r:id="rId1"/>
  <tableParts count="4">
    <tablePart r:id="rId6"/>
    <tablePart r:id="rId7"/>
    <tablePart r:id="rId8"/>
    <tablePart r:id="rId9"/>
  </tableParts>
</worksheet>
</file>